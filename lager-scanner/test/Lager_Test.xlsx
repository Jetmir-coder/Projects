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liste" sheetId="1" state="visible" r:id="rId1"/>
    <sheet xmlns:r="http://schemas.openxmlformats.org/officeDocument/2006/relationships" name="Stellplaetze" sheetId="2" state="visible" r:id="rId2"/>
    <sheet xmlns:r="http://schemas.openxmlformats.org/officeDocument/2006/relationships" name="Protokoll" sheetId="3" state="visible" r:id="rId3"/>
    <sheet xmlns:r="http://schemas.openxmlformats.org/officeDocument/2006/relationships" name="Lageruebersicht" sheetId="4" state="visible" r:id="rId4"/>
    <sheet xmlns:r="http://schemas.openxmlformats.org/officeDocument/2006/relationships" name="PlanLayout" sheetId="5" state="visible" r:id="rId5"/>
    <sheet xmlns:r="http://schemas.openxmlformats.org/officeDocument/2006/relationships" name="Lager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DDDDDD"/>
        </patternFill>
      </fill>
      <border>
        <left style="thin">
          <color rgb="00999999"/>
        </left>
        <right style="thin">
          <color rgb="00999999"/>
        </right>
        <top style="thin">
          <color rgb="00999999"/>
        </top>
        <bottom style="thin">
          <color rgb="00999999"/>
        </bottom>
      </border>
    </dxf>
    <dxf>
      <fill>
        <patternFill patternType="solid">
          <fgColor rgb="00C6EFCE"/>
        </patternFill>
      </fill>
      <border>
        <left style="thin">
          <color rgb="00999999"/>
        </left>
        <right style="thin">
          <color rgb="00999999"/>
        </right>
        <top style="thin">
          <color rgb="00999999"/>
        </top>
        <bottom style="thin">
          <color rgb="00999999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blMaterial" displayName="tblMaterial" ref="A1:F51" headerRowCount="1">
  <autoFilter ref="A1:F2"/>
  <tableColumns count="6">
    <tableColumn id="1" name="SAP"/>
    <tableColumn id="2" name="Bezeichnung"/>
    <tableColumn id="3" name="Lagerstand"/>
    <tableColumn id="4" name="Meldebestand"/>
    <tableColumn id="5" name="StkProKarton"/>
    <tableColumn id="6" name="StkProPalette"/>
  </tableColumns>
  <tableStyleInfo name="TableStyleMedium2" showRowStripes="1"/>
</table>
</file>

<file path=xl/tables/table2.xml><?xml version="1.0" encoding="utf-8"?>
<table xmlns="http://schemas.openxmlformats.org/spreadsheetml/2006/main" id="2" name="tblStellplatz" displayName="tblStellplatz" ref="A1:B201" headerRowCount="1">
  <autoFilter ref="A1:B2"/>
  <tableColumns count="2">
    <tableColumn id="1" name="Stellplatz"/>
    <tableColumn id="2" name="SAP"/>
  </tableColumns>
  <tableStyleInfo name="TableStyleMedium2" showRowStripes="1"/>
</table>
</file>

<file path=xl/tables/table3.xml><?xml version="1.0" encoding="utf-8"?>
<table xmlns="http://schemas.openxmlformats.org/spreadsheetml/2006/main" id="3" name="tblProtokoll" displayName="tblProtokoll" ref="A1:H2" headerRowCount="1">
  <autoFilter ref="A1:H2"/>
  <tableColumns count="8">
    <tableColumn id="1" name="Zeit"/>
    <tableColumn id="2" name="Stellplatz"/>
    <tableColumn id="3" name="SAP"/>
    <tableColumn id="4" name="Aktion"/>
    <tableColumn id="5" name="Einheit"/>
    <tableColumn id="6" name="Anzahl"/>
    <tableColumn id="7" name="Stueck"/>
    <tableColumn id="8" name="NeuerBestan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6" customWidth="1" min="5" max="5"/>
    <col width="17" customWidth="1" min="6" max="6"/>
  </cols>
  <sheetData>
    <row r="1">
      <c r="A1" t="inlineStr">
        <is>
          <t>SAP</t>
        </is>
      </c>
      <c r="B1" t="inlineStr">
        <is>
          <t>Bezeichnung</t>
        </is>
      </c>
      <c r="C1" t="inlineStr">
        <is>
          <t>Lagerstand</t>
        </is>
      </c>
      <c r="D1" t="inlineStr">
        <is>
          <t>Meldebestand</t>
        </is>
      </c>
      <c r="E1" t="inlineStr">
        <is>
          <t>StkProKarton</t>
        </is>
      </c>
      <c r="F1" t="inlineStr">
        <is>
          <t>StkProPalette</t>
        </is>
      </c>
    </row>
    <row r="2">
      <c r="A2" t="inlineStr">
        <is>
          <t>40290012</t>
        </is>
      </c>
      <c r="B2" t="inlineStr">
        <is>
          <t>Schraube M8x40 Typ A</t>
        </is>
      </c>
      <c r="C2" t="n">
        <v>480</v>
      </c>
      <c r="D2" t="n">
        <v>480</v>
      </c>
      <c r="E2" t="n">
        <v>24</v>
      </c>
      <c r="F2" t="n">
        <v>480</v>
      </c>
    </row>
    <row r="3">
      <c r="A3" t="inlineStr">
        <is>
          <t>40229779</t>
        </is>
      </c>
      <c r="B3" t="inlineStr">
        <is>
          <t>Mutter M8 Typ A</t>
        </is>
      </c>
      <c r="C3" t="n">
        <v>480</v>
      </c>
      <c r="D3" t="n">
        <v>240</v>
      </c>
      <c r="E3" t="n">
        <v>12</v>
      </c>
      <c r="F3" t="n">
        <v>240</v>
      </c>
    </row>
    <row r="4">
      <c r="A4" t="inlineStr">
        <is>
          <t>40211614</t>
        </is>
      </c>
      <c r="B4" t="inlineStr">
        <is>
          <t>Unterlegscheibe 8,4 Typ A</t>
        </is>
      </c>
      <c r="C4" t="n">
        <v>1440</v>
      </c>
      <c r="D4" t="n">
        <v>1440</v>
      </c>
      <c r="E4" t="n">
        <v>24</v>
      </c>
      <c r="F4" t="n">
        <v>1440</v>
      </c>
    </row>
    <row r="5">
      <c r="A5" t="inlineStr">
        <is>
          <t>40214943</t>
        </is>
      </c>
      <c r="B5" t="inlineStr">
        <is>
          <t>Kabelbinder 200mm Typ A</t>
        </is>
      </c>
      <c r="C5" t="n">
        <v>3000</v>
      </c>
      <c r="D5" t="n">
        <v>3000</v>
      </c>
      <c r="E5" t="n">
        <v>50</v>
      </c>
      <c r="F5" t="n">
        <v>3000</v>
      </c>
    </row>
    <row r="6">
      <c r="A6" t="inlineStr">
        <is>
          <t>40383028</t>
        </is>
      </c>
      <c r="B6" t="inlineStr">
        <is>
          <t>Folie 500mm Typ A</t>
        </is>
      </c>
      <c r="C6" t="n">
        <v>8000</v>
      </c>
      <c r="D6" t="n">
        <v>2000</v>
      </c>
      <c r="E6" t="n">
        <v>100</v>
      </c>
      <c r="F6" t="n">
        <v>2000</v>
      </c>
    </row>
    <row r="7">
      <c r="A7" t="inlineStr">
        <is>
          <t>40381812</t>
        </is>
      </c>
      <c r="B7" t="inlineStr">
        <is>
          <t>Karton 600x400 Typ A</t>
        </is>
      </c>
      <c r="C7" t="n">
        <v>90</v>
      </c>
      <c r="D7" t="n">
        <v>30</v>
      </c>
      <c r="E7" t="n">
        <v>0</v>
      </c>
      <c r="F7" t="n">
        <v>30</v>
      </c>
    </row>
    <row r="8">
      <c r="A8" t="inlineStr">
        <is>
          <t>40287867</t>
        </is>
      </c>
      <c r="B8" t="inlineStr">
        <is>
          <t>Klebeband braun Typ A</t>
        </is>
      </c>
      <c r="C8" t="n">
        <v>3000</v>
      </c>
      <c r="D8" t="n">
        <v>1000</v>
      </c>
      <c r="E8" t="n">
        <v>50</v>
      </c>
      <c r="F8" t="n">
        <v>1000</v>
      </c>
    </row>
    <row r="9">
      <c r="A9" t="inlineStr">
        <is>
          <t>40970777</t>
        </is>
      </c>
      <c r="B9" t="inlineStr">
        <is>
          <t>Etikett 100x50 Typ A</t>
        </is>
      </c>
      <c r="C9" t="n">
        <v>240</v>
      </c>
      <c r="D9" t="n">
        <v>120</v>
      </c>
      <c r="E9" t="n">
        <v>6</v>
      </c>
      <c r="F9" t="n">
        <v>120</v>
      </c>
    </row>
    <row r="10">
      <c r="A10" t="inlineStr">
        <is>
          <t>40227101</t>
        </is>
      </c>
      <c r="B10" t="inlineStr">
        <is>
          <t>Dichtung DN50 Typ A</t>
        </is>
      </c>
      <c r="C10" t="n">
        <v>1000</v>
      </c>
      <c r="D10" t="n">
        <v>1000</v>
      </c>
      <c r="E10" t="n">
        <v>50</v>
      </c>
      <c r="F10" t="n">
        <v>1000</v>
      </c>
    </row>
    <row r="11">
      <c r="A11" t="inlineStr">
        <is>
          <t>40734374</t>
        </is>
      </c>
      <c r="B11" t="inlineStr">
        <is>
          <t>Rohr 1/2 Zoll Typ A</t>
        </is>
      </c>
      <c r="C11" t="n">
        <v>18000</v>
      </c>
      <c r="D11" t="n">
        <v>6000</v>
      </c>
      <c r="E11" t="n">
        <v>100</v>
      </c>
      <c r="F11" t="n">
        <v>6000</v>
      </c>
    </row>
    <row r="12">
      <c r="A12" t="inlineStr">
        <is>
          <t>40848628</t>
        </is>
      </c>
      <c r="B12" t="inlineStr">
        <is>
          <t>Winkel 90 Grad Typ A</t>
        </is>
      </c>
      <c r="C12" t="n">
        <v>2880</v>
      </c>
      <c r="D12" t="n">
        <v>960</v>
      </c>
      <c r="E12" t="n">
        <v>24</v>
      </c>
      <c r="F12" t="n">
        <v>960</v>
      </c>
    </row>
    <row r="13">
      <c r="A13" t="inlineStr">
        <is>
          <t>40335070</t>
        </is>
      </c>
      <c r="B13" t="inlineStr">
        <is>
          <t>Scharnier 60mm Typ A</t>
        </is>
      </c>
      <c r="C13" t="n">
        <v>3000</v>
      </c>
      <c r="D13" t="n">
        <v>3000</v>
      </c>
      <c r="E13" t="n">
        <v>100</v>
      </c>
      <c r="F13" t="n">
        <v>3000</v>
      </c>
    </row>
    <row r="14">
      <c r="A14" t="inlineStr">
        <is>
          <t>40775919</t>
        </is>
      </c>
      <c r="B14" t="inlineStr">
        <is>
          <t>Griff Edelstahl Typ A</t>
        </is>
      </c>
      <c r="C14" t="n">
        <v>3840</v>
      </c>
      <c r="D14" t="n">
        <v>960</v>
      </c>
      <c r="E14" t="n">
        <v>24</v>
      </c>
      <c r="F14" t="n">
        <v>960</v>
      </c>
    </row>
    <row r="15">
      <c r="A15" t="inlineStr">
        <is>
          <t>40875717</t>
        </is>
      </c>
      <c r="B15" t="inlineStr">
        <is>
          <t>Kleber 2K Typ A</t>
        </is>
      </c>
      <c r="C15" t="n">
        <v>80</v>
      </c>
      <c r="D15" t="n">
        <v>20</v>
      </c>
      <c r="E15" t="n">
        <v>0</v>
      </c>
      <c r="F15" t="n">
        <v>20</v>
      </c>
    </row>
    <row r="16">
      <c r="A16" t="inlineStr">
        <is>
          <t>40530530</t>
        </is>
      </c>
      <c r="B16" t="inlineStr">
        <is>
          <t>Palettenfolie Typ A</t>
        </is>
      </c>
      <c r="C16" t="n">
        <v>1440</v>
      </c>
      <c r="D16" t="n">
        <v>360</v>
      </c>
      <c r="E16" t="n">
        <v>6</v>
      </c>
      <c r="F16" t="n">
        <v>360</v>
      </c>
    </row>
    <row r="17">
      <c r="A17" t="inlineStr">
        <is>
          <t>40951642</t>
        </is>
      </c>
      <c r="B17" t="inlineStr">
        <is>
          <t>Steckdose 3-fach Typ A</t>
        </is>
      </c>
      <c r="C17" t="n">
        <v>120</v>
      </c>
      <c r="D17" t="n">
        <v>40</v>
      </c>
      <c r="E17" t="n">
        <v>0</v>
      </c>
      <c r="F17" t="n">
        <v>40</v>
      </c>
    </row>
    <row r="18">
      <c r="A18" t="inlineStr">
        <is>
          <t>40866737</t>
        </is>
      </c>
      <c r="B18" t="inlineStr">
        <is>
          <t>Kabel 3x1,5 Typ A</t>
        </is>
      </c>
      <c r="C18" t="n">
        <v>1440</v>
      </c>
      <c r="D18" t="n">
        <v>1440</v>
      </c>
      <c r="E18" t="n">
        <v>24</v>
      </c>
      <c r="F18" t="n">
        <v>1440</v>
      </c>
    </row>
    <row r="19">
      <c r="A19" t="inlineStr">
        <is>
          <t>40442533</t>
        </is>
      </c>
      <c r="B19" t="inlineStr">
        <is>
          <t>Schlauch 10mm Typ A</t>
        </is>
      </c>
      <c r="C19" t="n">
        <v>480</v>
      </c>
      <c r="D19" t="n">
        <v>480</v>
      </c>
      <c r="E19" t="n">
        <v>24</v>
      </c>
      <c r="F19" t="n">
        <v>480</v>
      </c>
    </row>
    <row r="20">
      <c r="A20" t="inlineStr">
        <is>
          <t>40926072</t>
        </is>
      </c>
      <c r="B20" t="inlineStr">
        <is>
          <t>Filter G4 Typ A</t>
        </is>
      </c>
      <c r="C20" t="n">
        <v>9000</v>
      </c>
      <c r="D20" t="n">
        <v>3000</v>
      </c>
      <c r="E20" t="n">
        <v>50</v>
      </c>
      <c r="F20" t="n">
        <v>3000</v>
      </c>
    </row>
    <row r="21">
      <c r="A21" t="inlineStr">
        <is>
          <t>40957320</t>
        </is>
      </c>
      <c r="B21" t="inlineStr">
        <is>
          <t>Lager 6204 Typ A</t>
        </is>
      </c>
      <c r="C21" t="n">
        <v>960</v>
      </c>
      <c r="D21" t="n">
        <v>240</v>
      </c>
      <c r="E21" t="n">
        <v>12</v>
      </c>
      <c r="F21" t="n">
        <v>240</v>
      </c>
    </row>
    <row r="22">
      <c r="A22" t="inlineStr">
        <is>
          <t>40316823</t>
        </is>
      </c>
      <c r="B22" t="inlineStr">
        <is>
          <t>Schraube M8x40 Typ B</t>
        </is>
      </c>
      <c r="C22" t="n">
        <v>4000</v>
      </c>
      <c r="D22" t="n">
        <v>1000</v>
      </c>
      <c r="E22" t="n">
        <v>50</v>
      </c>
      <c r="F22" t="n">
        <v>1000</v>
      </c>
    </row>
    <row r="23">
      <c r="A23" t="inlineStr">
        <is>
          <t>40370530</t>
        </is>
      </c>
      <c r="B23" t="inlineStr">
        <is>
          <t>Mutter M8 Typ B</t>
        </is>
      </c>
      <c r="C23" t="n">
        <v>720</v>
      </c>
      <c r="D23" t="n">
        <v>360</v>
      </c>
      <c r="E23" t="n">
        <v>12</v>
      </c>
      <c r="F23" t="n">
        <v>360</v>
      </c>
    </row>
    <row r="24">
      <c r="A24" t="inlineStr">
        <is>
          <t>40607519</t>
        </is>
      </c>
      <c r="B24" t="inlineStr">
        <is>
          <t>Unterlegscheibe 8,4 Typ B</t>
        </is>
      </c>
      <c r="C24" t="n">
        <v>960</v>
      </c>
      <c r="D24" t="n">
        <v>480</v>
      </c>
      <c r="E24" t="n">
        <v>24</v>
      </c>
      <c r="F24" t="n">
        <v>480</v>
      </c>
    </row>
    <row r="25">
      <c r="A25" t="inlineStr">
        <is>
          <t>40618359</t>
        </is>
      </c>
      <c r="B25" t="inlineStr">
        <is>
          <t>Kabelbinder 200mm Typ B</t>
        </is>
      </c>
      <c r="C25" t="n">
        <v>4000</v>
      </c>
      <c r="D25" t="n">
        <v>2000</v>
      </c>
      <c r="E25" t="n">
        <v>50</v>
      </c>
      <c r="F25" t="n">
        <v>2000</v>
      </c>
    </row>
    <row r="26">
      <c r="A26" t="inlineStr">
        <is>
          <t>40808053</t>
        </is>
      </c>
      <c r="B26" t="inlineStr">
        <is>
          <t>Folie 500mm Typ B</t>
        </is>
      </c>
      <c r="C26" t="n">
        <v>2160</v>
      </c>
      <c r="D26" t="n">
        <v>720</v>
      </c>
      <c r="E26" t="n">
        <v>12</v>
      </c>
      <c r="F26" t="n">
        <v>720</v>
      </c>
    </row>
    <row r="27">
      <c r="A27" t="inlineStr">
        <is>
          <t>40397233</t>
        </is>
      </c>
      <c r="B27" t="inlineStr">
        <is>
          <t>Karton 600x400 Typ B</t>
        </is>
      </c>
      <c r="C27" t="n">
        <v>240</v>
      </c>
      <c r="D27" t="n">
        <v>120</v>
      </c>
      <c r="E27" t="n">
        <v>6</v>
      </c>
      <c r="F27" t="n">
        <v>120</v>
      </c>
    </row>
    <row r="28">
      <c r="A28" t="inlineStr">
        <is>
          <t>40393478</t>
        </is>
      </c>
      <c r="B28" t="inlineStr">
        <is>
          <t>Klebeband braun Typ B</t>
        </is>
      </c>
      <c r="C28" t="n">
        <v>3000</v>
      </c>
      <c r="D28" t="n">
        <v>3000</v>
      </c>
      <c r="E28" t="n">
        <v>100</v>
      </c>
      <c r="F28" t="n">
        <v>3000</v>
      </c>
    </row>
    <row r="29">
      <c r="A29" t="inlineStr">
        <is>
          <t>40858945</t>
        </is>
      </c>
      <c r="B29" t="inlineStr">
        <is>
          <t>Etikett 100x50 Typ B</t>
        </is>
      </c>
      <c r="C29" t="n">
        <v>720</v>
      </c>
      <c r="D29" t="n">
        <v>240</v>
      </c>
      <c r="E29" t="n">
        <v>6</v>
      </c>
      <c r="F29" t="n">
        <v>240</v>
      </c>
    </row>
    <row r="30">
      <c r="A30" t="inlineStr">
        <is>
          <t>40280530</t>
        </is>
      </c>
      <c r="B30" t="inlineStr">
        <is>
          <t>Dichtung DN50 Typ B</t>
        </is>
      </c>
      <c r="C30" t="n">
        <v>2880</v>
      </c>
      <c r="D30" t="n">
        <v>960</v>
      </c>
      <c r="E30" t="n">
        <v>24</v>
      </c>
      <c r="F30" t="n">
        <v>960</v>
      </c>
    </row>
    <row r="31">
      <c r="A31" t="inlineStr">
        <is>
          <t>40983056</t>
        </is>
      </c>
      <c r="B31" t="inlineStr">
        <is>
          <t>Rohr 1/2 Zoll Typ B</t>
        </is>
      </c>
      <c r="C31" t="n">
        <v>4000</v>
      </c>
      <c r="D31" t="n">
        <v>1000</v>
      </c>
      <c r="E31" t="n">
        <v>50</v>
      </c>
      <c r="F31" t="n">
        <v>1000</v>
      </c>
    </row>
    <row r="32">
      <c r="A32" t="inlineStr">
        <is>
          <t>40607428</t>
        </is>
      </c>
      <c r="B32" t="inlineStr">
        <is>
          <t>Winkel 90 Grad Typ B</t>
        </is>
      </c>
      <c r="C32" t="n">
        <v>1440</v>
      </c>
      <c r="D32" t="n">
        <v>1440</v>
      </c>
      <c r="E32" t="n">
        <v>24</v>
      </c>
      <c r="F32" t="n">
        <v>1440</v>
      </c>
    </row>
    <row r="33">
      <c r="A33" t="inlineStr">
        <is>
          <t>40918889</t>
        </is>
      </c>
      <c r="B33" t="inlineStr">
        <is>
          <t>Scharnier 60mm Typ B</t>
        </is>
      </c>
      <c r="C33" t="n">
        <v>960</v>
      </c>
      <c r="D33" t="n">
        <v>480</v>
      </c>
      <c r="E33" t="n">
        <v>24</v>
      </c>
      <c r="F33" t="n">
        <v>480</v>
      </c>
    </row>
    <row r="34">
      <c r="A34" t="inlineStr">
        <is>
          <t>40362103</t>
        </is>
      </c>
      <c r="B34" t="inlineStr">
        <is>
          <t>Griff Edelstahl Typ B</t>
        </is>
      </c>
      <c r="C34" t="n">
        <v>720</v>
      </c>
      <c r="D34" t="n">
        <v>720</v>
      </c>
      <c r="E34" t="n">
        <v>24</v>
      </c>
      <c r="F34" t="n">
        <v>720</v>
      </c>
    </row>
    <row r="35">
      <c r="A35" t="inlineStr">
        <is>
          <t>40866571</t>
        </is>
      </c>
      <c r="B35" t="inlineStr">
        <is>
          <t>Kleber 2K Typ B</t>
        </is>
      </c>
      <c r="C35" t="n">
        <v>20</v>
      </c>
      <c r="D35" t="n">
        <v>20</v>
      </c>
      <c r="E35" t="n">
        <v>0</v>
      </c>
      <c r="F35" t="n">
        <v>20</v>
      </c>
    </row>
    <row r="36">
      <c r="A36" t="inlineStr">
        <is>
          <t>40783478</t>
        </is>
      </c>
      <c r="B36" t="inlineStr">
        <is>
          <t>Palettenfolie Typ B</t>
        </is>
      </c>
      <c r="C36" t="n">
        <v>40</v>
      </c>
      <c r="D36" t="n">
        <v>40</v>
      </c>
      <c r="E36" t="n">
        <v>0</v>
      </c>
      <c r="F36" t="n">
        <v>40</v>
      </c>
    </row>
    <row r="37">
      <c r="A37" t="inlineStr">
        <is>
          <t>40360530</t>
        </is>
      </c>
      <c r="B37" t="inlineStr">
        <is>
          <t>Steckdose 3-fach Typ B</t>
        </is>
      </c>
      <c r="C37" t="n">
        <v>6000</v>
      </c>
      <c r="D37" t="n">
        <v>3000</v>
      </c>
      <c r="E37" t="n">
        <v>50</v>
      </c>
      <c r="F37" t="n">
        <v>3000</v>
      </c>
    </row>
    <row r="38">
      <c r="A38" t="inlineStr">
        <is>
          <t>40545132</t>
        </is>
      </c>
      <c r="B38" t="inlineStr">
        <is>
          <t>Kabel 3x1,5 Typ B</t>
        </is>
      </c>
      <c r="C38" t="n">
        <v>8000</v>
      </c>
      <c r="D38" t="n">
        <v>2000</v>
      </c>
      <c r="E38" t="n">
        <v>50</v>
      </c>
      <c r="F38" t="n">
        <v>2000</v>
      </c>
    </row>
    <row r="39">
      <c r="A39" t="inlineStr">
        <is>
          <t>40243012</t>
        </is>
      </c>
      <c r="B39" t="inlineStr">
        <is>
          <t>Schlauch 10mm Typ B</t>
        </is>
      </c>
      <c r="C39" t="n">
        <v>5760</v>
      </c>
      <c r="D39" t="n">
        <v>1440</v>
      </c>
      <c r="E39" t="n">
        <v>24</v>
      </c>
      <c r="F39" t="n">
        <v>1440</v>
      </c>
    </row>
    <row r="40">
      <c r="A40" t="inlineStr">
        <is>
          <t>40498927</t>
        </is>
      </c>
      <c r="B40" t="inlineStr">
        <is>
          <t>Filter G4 Typ B</t>
        </is>
      </c>
      <c r="C40" t="n">
        <v>30</v>
      </c>
      <c r="D40" t="n">
        <v>30</v>
      </c>
      <c r="E40" t="n">
        <v>0</v>
      </c>
      <c r="F40" t="n">
        <v>30</v>
      </c>
    </row>
    <row r="41">
      <c r="A41" t="inlineStr">
        <is>
          <t>40436613</t>
        </is>
      </c>
      <c r="B41" t="inlineStr">
        <is>
          <t>Lager 6204 Typ B</t>
        </is>
      </c>
      <c r="C41" t="n">
        <v>720</v>
      </c>
      <c r="D41" t="n">
        <v>720</v>
      </c>
      <c r="E41" t="n">
        <v>24</v>
      </c>
      <c r="F41" t="n">
        <v>720</v>
      </c>
    </row>
    <row r="42">
      <c r="A42" t="inlineStr">
        <is>
          <t>40774362</t>
        </is>
      </c>
      <c r="B42" t="inlineStr">
        <is>
          <t>Schraube M8x40 Typ C</t>
        </is>
      </c>
      <c r="C42" t="n">
        <v>360</v>
      </c>
      <c r="D42" t="n">
        <v>360</v>
      </c>
      <c r="E42" t="n">
        <v>12</v>
      </c>
      <c r="F42" t="n">
        <v>360</v>
      </c>
    </row>
    <row r="43">
      <c r="A43" t="inlineStr">
        <is>
          <t>40489652</t>
        </is>
      </c>
      <c r="B43" t="inlineStr">
        <is>
          <t>Mutter M8 Typ C</t>
        </is>
      </c>
      <c r="C43" t="n">
        <v>6000</v>
      </c>
      <c r="D43" t="n">
        <v>2000</v>
      </c>
      <c r="E43" t="n">
        <v>100</v>
      </c>
      <c r="F43" t="n">
        <v>2000</v>
      </c>
    </row>
    <row r="44">
      <c r="A44" t="inlineStr">
        <is>
          <t>40560777</t>
        </is>
      </c>
      <c r="B44" t="inlineStr">
        <is>
          <t>Unterlegscheibe 8,4 Typ C</t>
        </is>
      </c>
      <c r="C44" t="n">
        <v>480</v>
      </c>
      <c r="D44" t="n">
        <v>240</v>
      </c>
      <c r="E44" t="n">
        <v>6</v>
      </c>
      <c r="F44" t="n">
        <v>240</v>
      </c>
    </row>
    <row r="45">
      <c r="A45" t="inlineStr">
        <is>
          <t>40799725</t>
        </is>
      </c>
      <c r="B45" t="inlineStr">
        <is>
          <t>Kabelbinder 200mm Typ C</t>
        </is>
      </c>
      <c r="C45" t="n">
        <v>4000</v>
      </c>
      <c r="D45" t="n">
        <v>2000</v>
      </c>
      <c r="E45" t="n">
        <v>50</v>
      </c>
      <c r="F45" t="n">
        <v>2000</v>
      </c>
    </row>
    <row r="46">
      <c r="A46" t="inlineStr">
        <is>
          <t>40404197</t>
        </is>
      </c>
      <c r="B46" t="inlineStr">
        <is>
          <t>Folie 500mm Typ C</t>
        </is>
      </c>
      <c r="C46" t="n">
        <v>1440</v>
      </c>
      <c r="D46" t="n">
        <v>720</v>
      </c>
      <c r="E46" t="n">
        <v>24</v>
      </c>
      <c r="F46" t="n">
        <v>720</v>
      </c>
    </row>
    <row r="47">
      <c r="A47" t="inlineStr">
        <is>
          <t>40739480</t>
        </is>
      </c>
      <c r="B47" t="inlineStr">
        <is>
          <t>Karton 600x400 Typ C</t>
        </is>
      </c>
      <c r="C47" t="n">
        <v>240</v>
      </c>
      <c r="D47" t="n">
        <v>240</v>
      </c>
      <c r="E47" t="n">
        <v>12</v>
      </c>
      <c r="F47" t="n">
        <v>240</v>
      </c>
    </row>
    <row r="48">
      <c r="A48" t="inlineStr">
        <is>
          <t>40705577</t>
        </is>
      </c>
      <c r="B48" t="inlineStr">
        <is>
          <t>Klebeband braun Typ C</t>
        </is>
      </c>
      <c r="C48" t="n">
        <v>1080</v>
      </c>
      <c r="D48" t="n">
        <v>360</v>
      </c>
      <c r="E48" t="n">
        <v>12</v>
      </c>
      <c r="F48" t="n">
        <v>360</v>
      </c>
    </row>
    <row r="49">
      <c r="A49" t="inlineStr">
        <is>
          <t>40548327</t>
        </is>
      </c>
      <c r="B49" t="inlineStr">
        <is>
          <t>Etikett 100x50 Typ C</t>
        </is>
      </c>
      <c r="C49" t="n">
        <v>480</v>
      </c>
      <c r="D49" t="n">
        <v>240</v>
      </c>
      <c r="E49" t="n">
        <v>12</v>
      </c>
      <c r="F49" t="n">
        <v>240</v>
      </c>
    </row>
    <row r="50">
      <c r="A50" t="inlineStr">
        <is>
          <t>40392673</t>
        </is>
      </c>
      <c r="B50" t="inlineStr">
        <is>
          <t>Dichtung DN50 Typ C</t>
        </is>
      </c>
      <c r="C50" t="n">
        <v>2160</v>
      </c>
      <c r="D50" t="n">
        <v>720</v>
      </c>
      <c r="E50" t="n">
        <v>24</v>
      </c>
      <c r="F50" t="n">
        <v>720</v>
      </c>
    </row>
    <row r="51">
      <c r="A51" t="inlineStr">
        <is>
          <t>40710530</t>
        </is>
      </c>
      <c r="B51" t="inlineStr">
        <is>
          <t>Rohr 1/2 Zoll Typ C</t>
        </is>
      </c>
      <c r="C51" t="n">
        <v>4000</v>
      </c>
      <c r="D51" t="n">
        <v>1000</v>
      </c>
      <c r="E51" t="n">
        <v>50</v>
      </c>
      <c r="F51" t="n">
        <v>1000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t="inlineStr">
        <is>
          <t>Stellplatz</t>
        </is>
      </c>
      <c r="B1" t="inlineStr">
        <is>
          <t>SAP</t>
        </is>
      </c>
    </row>
    <row r="2">
      <c r="A2" t="n">
        <v>1</v>
      </c>
      <c r="B2" t="inlineStr"/>
    </row>
    <row r="3">
      <c r="A3" t="n">
        <v>2</v>
      </c>
      <c r="B3" t="inlineStr"/>
    </row>
    <row r="4">
      <c r="A4" t="n">
        <v>3</v>
      </c>
      <c r="B4" t="inlineStr"/>
    </row>
    <row r="5">
      <c r="A5" t="n">
        <v>4</v>
      </c>
      <c r="B5" t="inlineStr">
        <is>
          <t>40498927</t>
        </is>
      </c>
    </row>
    <row r="6">
      <c r="A6" t="n">
        <v>5</v>
      </c>
      <c r="B6" t="inlineStr">
        <is>
          <t>40560777</t>
        </is>
      </c>
    </row>
    <row r="7">
      <c r="A7" t="n">
        <v>6</v>
      </c>
      <c r="B7" t="inlineStr">
        <is>
          <t>40362103</t>
        </is>
      </c>
    </row>
    <row r="8">
      <c r="A8" t="n">
        <v>7</v>
      </c>
      <c r="B8" t="inlineStr"/>
    </row>
    <row r="9">
      <c r="A9" t="n">
        <v>8</v>
      </c>
      <c r="B9" t="inlineStr">
        <is>
          <t>40775919</t>
        </is>
      </c>
    </row>
    <row r="10">
      <c r="A10" t="n">
        <v>9</v>
      </c>
      <c r="B10" t="inlineStr"/>
    </row>
    <row r="11">
      <c r="A11" t="n">
        <v>10</v>
      </c>
      <c r="B11" t="inlineStr"/>
    </row>
    <row r="12">
      <c r="A12" t="n">
        <v>11</v>
      </c>
      <c r="B12" t="inlineStr"/>
    </row>
    <row r="13">
      <c r="A13" t="n">
        <v>12</v>
      </c>
      <c r="B13" t="inlineStr"/>
    </row>
    <row r="14">
      <c r="A14" t="n">
        <v>13</v>
      </c>
      <c r="B14" t="inlineStr"/>
    </row>
    <row r="15">
      <c r="A15" t="n">
        <v>14</v>
      </c>
      <c r="B15" t="inlineStr"/>
    </row>
    <row r="16">
      <c r="A16" t="n">
        <v>15</v>
      </c>
      <c r="B16" t="inlineStr"/>
    </row>
    <row r="17">
      <c r="A17" t="n">
        <v>16</v>
      </c>
      <c r="B17" t="inlineStr">
        <is>
          <t>40393478</t>
        </is>
      </c>
    </row>
    <row r="18">
      <c r="A18" t="n">
        <v>17</v>
      </c>
      <c r="B18" t="inlineStr"/>
    </row>
    <row r="19">
      <c r="A19" t="n">
        <v>18</v>
      </c>
      <c r="B19" t="inlineStr"/>
    </row>
    <row r="20">
      <c r="A20" t="n">
        <v>19</v>
      </c>
      <c r="B20" t="inlineStr"/>
    </row>
    <row r="21">
      <c r="A21" t="n">
        <v>20</v>
      </c>
      <c r="B21" t="inlineStr"/>
    </row>
    <row r="22">
      <c r="A22" t="n">
        <v>21</v>
      </c>
      <c r="B22" t="inlineStr"/>
    </row>
    <row r="23">
      <c r="A23" t="n">
        <v>22</v>
      </c>
      <c r="B23" t="inlineStr">
        <is>
          <t>40734374</t>
        </is>
      </c>
    </row>
    <row r="24">
      <c r="A24" t="n">
        <v>23</v>
      </c>
      <c r="B24" t="inlineStr">
        <is>
          <t>40866571</t>
        </is>
      </c>
    </row>
    <row r="25">
      <c r="A25" t="n">
        <v>24</v>
      </c>
      <c r="B25" t="inlineStr"/>
    </row>
    <row r="26">
      <c r="A26" t="n">
        <v>25</v>
      </c>
      <c r="B26" t="inlineStr"/>
    </row>
    <row r="27">
      <c r="A27" t="n">
        <v>26</v>
      </c>
      <c r="B27" t="inlineStr"/>
    </row>
    <row r="28">
      <c r="A28" t="n">
        <v>27</v>
      </c>
      <c r="B28" t="inlineStr">
        <is>
          <t>40362103</t>
        </is>
      </c>
    </row>
    <row r="29">
      <c r="A29" t="n">
        <v>28</v>
      </c>
      <c r="B29" t="inlineStr"/>
    </row>
    <row r="30">
      <c r="A30" t="n">
        <v>29</v>
      </c>
      <c r="B30" t="inlineStr"/>
    </row>
    <row r="31">
      <c r="A31" t="n">
        <v>30</v>
      </c>
      <c r="B31" t="inlineStr"/>
    </row>
    <row r="32">
      <c r="A32" t="n">
        <v>31</v>
      </c>
      <c r="B32" t="inlineStr">
        <is>
          <t>40734374</t>
        </is>
      </c>
    </row>
    <row r="33">
      <c r="A33" t="n">
        <v>32</v>
      </c>
      <c r="B33" t="inlineStr"/>
    </row>
    <row r="34">
      <c r="A34" t="n">
        <v>33</v>
      </c>
      <c r="B34" t="inlineStr">
        <is>
          <t>40951642</t>
        </is>
      </c>
    </row>
    <row r="35">
      <c r="A35" t="n">
        <v>34</v>
      </c>
      <c r="B35" t="inlineStr">
        <is>
          <t>40436613</t>
        </is>
      </c>
    </row>
    <row r="36">
      <c r="A36" t="n">
        <v>35</v>
      </c>
      <c r="B36" t="inlineStr"/>
    </row>
    <row r="37">
      <c r="A37" t="n">
        <v>36</v>
      </c>
      <c r="B37" t="inlineStr">
        <is>
          <t>40404197</t>
        </is>
      </c>
    </row>
    <row r="38">
      <c r="A38" t="n">
        <v>37</v>
      </c>
      <c r="B38" t="inlineStr"/>
    </row>
    <row r="39">
      <c r="A39" t="n">
        <v>38</v>
      </c>
      <c r="B39" t="inlineStr">
        <is>
          <t>40362103</t>
        </is>
      </c>
    </row>
    <row r="40">
      <c r="A40" t="n">
        <v>39</v>
      </c>
      <c r="B40" t="inlineStr">
        <is>
          <t>40442533</t>
        </is>
      </c>
    </row>
    <row r="41">
      <c r="A41" t="n">
        <v>40</v>
      </c>
      <c r="B41" t="inlineStr">
        <is>
          <t>40383028</t>
        </is>
      </c>
    </row>
    <row r="42">
      <c r="A42" t="n">
        <v>41</v>
      </c>
      <c r="B42" t="inlineStr">
        <is>
          <t>40360530</t>
        </is>
      </c>
    </row>
    <row r="43">
      <c r="A43" t="n">
        <v>42</v>
      </c>
      <c r="B43" t="inlineStr"/>
    </row>
    <row r="44">
      <c r="A44" t="n">
        <v>43</v>
      </c>
      <c r="B44" t="inlineStr"/>
    </row>
    <row r="45">
      <c r="A45" t="n">
        <v>44</v>
      </c>
      <c r="B45" t="inlineStr">
        <is>
          <t>40214943</t>
        </is>
      </c>
    </row>
    <row r="46">
      <c r="A46" t="n">
        <v>45</v>
      </c>
      <c r="B46" t="inlineStr"/>
    </row>
    <row r="47">
      <c r="A47" t="n">
        <v>46</v>
      </c>
      <c r="B47" t="inlineStr">
        <is>
          <t>40360530</t>
        </is>
      </c>
    </row>
    <row r="48">
      <c r="A48" t="n">
        <v>47</v>
      </c>
      <c r="B48" t="inlineStr">
        <is>
          <t>40970777</t>
        </is>
      </c>
    </row>
    <row r="49">
      <c r="A49" t="n">
        <v>48</v>
      </c>
      <c r="B49" t="inlineStr"/>
    </row>
    <row r="50">
      <c r="A50" t="n">
        <v>49</v>
      </c>
      <c r="B50" t="inlineStr"/>
    </row>
    <row r="51">
      <c r="A51" t="n">
        <v>50</v>
      </c>
      <c r="B51" t="inlineStr">
        <is>
          <t>40280530</t>
        </is>
      </c>
    </row>
    <row r="52">
      <c r="A52" t="n">
        <v>51</v>
      </c>
      <c r="B52" t="inlineStr"/>
    </row>
    <row r="53">
      <c r="A53" t="n">
        <v>52</v>
      </c>
      <c r="B53" t="inlineStr">
        <is>
          <t>40705577</t>
        </is>
      </c>
    </row>
    <row r="54">
      <c r="A54" t="n">
        <v>53</v>
      </c>
      <c r="B54" t="inlineStr"/>
    </row>
    <row r="55">
      <c r="A55" t="n">
        <v>54</v>
      </c>
      <c r="B55" t="inlineStr"/>
    </row>
    <row r="56">
      <c r="A56" t="n">
        <v>55</v>
      </c>
      <c r="B56" t="inlineStr">
        <is>
          <t>40362103</t>
        </is>
      </c>
    </row>
    <row r="57">
      <c r="A57" t="n">
        <v>56</v>
      </c>
      <c r="B57" t="inlineStr"/>
    </row>
    <row r="58">
      <c r="A58" t="n">
        <v>57</v>
      </c>
      <c r="B58" t="inlineStr"/>
    </row>
    <row r="59">
      <c r="A59" t="n">
        <v>58</v>
      </c>
      <c r="B59" t="inlineStr"/>
    </row>
    <row r="60">
      <c r="A60" t="n">
        <v>59</v>
      </c>
      <c r="B60" t="inlineStr"/>
    </row>
    <row r="61">
      <c r="A61" t="n">
        <v>60</v>
      </c>
      <c r="B61" t="inlineStr"/>
    </row>
    <row r="62">
      <c r="A62" t="n">
        <v>61</v>
      </c>
      <c r="B62" t="inlineStr"/>
    </row>
    <row r="63">
      <c r="A63" t="n">
        <v>62</v>
      </c>
      <c r="B63" t="inlineStr">
        <is>
          <t>40866571</t>
        </is>
      </c>
    </row>
    <row r="64">
      <c r="A64" t="n">
        <v>63</v>
      </c>
      <c r="B64" t="inlineStr"/>
    </row>
    <row r="65">
      <c r="A65" t="n">
        <v>64</v>
      </c>
      <c r="B65" t="inlineStr"/>
    </row>
    <row r="66">
      <c r="A66" t="n">
        <v>65</v>
      </c>
      <c r="B66" t="inlineStr">
        <is>
          <t>40607428</t>
        </is>
      </c>
    </row>
    <row r="67">
      <c r="A67" t="n">
        <v>66</v>
      </c>
      <c r="B67" t="inlineStr"/>
    </row>
    <row r="68">
      <c r="A68" t="n">
        <v>67</v>
      </c>
      <c r="B68" t="inlineStr">
        <is>
          <t>40360530</t>
        </is>
      </c>
    </row>
    <row r="69">
      <c r="A69" t="n">
        <v>68</v>
      </c>
      <c r="B69" t="inlineStr"/>
    </row>
    <row r="70">
      <c r="A70" t="n">
        <v>69</v>
      </c>
      <c r="B70" t="inlineStr"/>
    </row>
    <row r="71">
      <c r="A71" t="n">
        <v>70</v>
      </c>
      <c r="B71" t="inlineStr"/>
    </row>
    <row r="72">
      <c r="A72" t="n">
        <v>71</v>
      </c>
      <c r="B72" t="inlineStr"/>
    </row>
    <row r="73">
      <c r="A73" t="n">
        <v>72</v>
      </c>
      <c r="B73" t="inlineStr"/>
    </row>
    <row r="74">
      <c r="A74" t="n">
        <v>73</v>
      </c>
      <c r="B74" t="inlineStr"/>
    </row>
    <row r="75">
      <c r="A75" t="n">
        <v>74</v>
      </c>
      <c r="B75" t="inlineStr"/>
    </row>
    <row r="76">
      <c r="A76" t="n">
        <v>75</v>
      </c>
      <c r="B76" t="inlineStr">
        <is>
          <t>40951642</t>
        </is>
      </c>
    </row>
    <row r="77">
      <c r="A77" t="n">
        <v>76</v>
      </c>
      <c r="B77" t="inlineStr"/>
    </row>
    <row r="78">
      <c r="A78" t="n">
        <v>77</v>
      </c>
      <c r="B78" t="inlineStr"/>
    </row>
    <row r="79">
      <c r="A79" t="n">
        <v>78</v>
      </c>
      <c r="B79" t="inlineStr"/>
    </row>
    <row r="80">
      <c r="A80" t="n">
        <v>79</v>
      </c>
      <c r="B80" t="inlineStr"/>
    </row>
    <row r="81">
      <c r="A81" t="n">
        <v>80</v>
      </c>
      <c r="B81" t="inlineStr"/>
    </row>
    <row r="82">
      <c r="A82" t="n">
        <v>81</v>
      </c>
      <c r="B82" t="inlineStr"/>
    </row>
    <row r="83">
      <c r="A83" t="n">
        <v>82</v>
      </c>
      <c r="B83" t="inlineStr"/>
    </row>
    <row r="84">
      <c r="A84" t="n">
        <v>83</v>
      </c>
      <c r="B84" t="inlineStr"/>
    </row>
    <row r="85">
      <c r="A85" t="n">
        <v>84</v>
      </c>
      <c r="B85" t="inlineStr">
        <is>
          <t>40866737</t>
        </is>
      </c>
    </row>
    <row r="86">
      <c r="A86" t="n">
        <v>85</v>
      </c>
      <c r="B86" t="inlineStr"/>
    </row>
    <row r="87">
      <c r="A87" t="n">
        <v>86</v>
      </c>
      <c r="B87" t="inlineStr">
        <is>
          <t>40799725</t>
        </is>
      </c>
    </row>
    <row r="88">
      <c r="A88" t="n">
        <v>87</v>
      </c>
      <c r="B88" t="inlineStr"/>
    </row>
    <row r="89">
      <c r="A89" t="n">
        <v>88</v>
      </c>
      <c r="B89" t="inlineStr"/>
    </row>
    <row r="90">
      <c r="A90" t="n">
        <v>89</v>
      </c>
      <c r="B90" t="inlineStr">
        <is>
          <t>40290012</t>
        </is>
      </c>
    </row>
    <row r="91">
      <c r="A91" t="n">
        <v>90</v>
      </c>
      <c r="B91" t="inlineStr">
        <is>
          <t>40392673</t>
        </is>
      </c>
    </row>
    <row r="92">
      <c r="A92" t="n">
        <v>91</v>
      </c>
      <c r="B92" t="inlineStr">
        <is>
          <t>40970777</t>
        </is>
      </c>
    </row>
    <row r="93">
      <c r="A93" t="n">
        <v>92</v>
      </c>
      <c r="B93" t="inlineStr"/>
    </row>
    <row r="94">
      <c r="A94" t="n">
        <v>93</v>
      </c>
      <c r="B94" t="inlineStr"/>
    </row>
    <row r="95">
      <c r="A95" t="n">
        <v>94</v>
      </c>
      <c r="B95" t="inlineStr"/>
    </row>
    <row r="96">
      <c r="A96" t="n">
        <v>95</v>
      </c>
      <c r="B96" t="inlineStr"/>
    </row>
    <row r="97">
      <c r="A97" t="n">
        <v>96</v>
      </c>
      <c r="B97" t="inlineStr"/>
    </row>
    <row r="98">
      <c r="A98" t="n">
        <v>97</v>
      </c>
      <c r="B98" t="inlineStr"/>
    </row>
    <row r="99">
      <c r="A99" t="n">
        <v>98</v>
      </c>
      <c r="B99" t="inlineStr"/>
    </row>
    <row r="100">
      <c r="A100" t="n">
        <v>99</v>
      </c>
      <c r="B100" t="inlineStr"/>
    </row>
    <row r="101">
      <c r="A101" t="n">
        <v>100</v>
      </c>
      <c r="B101" t="inlineStr">
        <is>
          <t>40607428</t>
        </is>
      </c>
    </row>
    <row r="102">
      <c r="A102" t="n">
        <v>101</v>
      </c>
      <c r="B102" t="inlineStr"/>
    </row>
    <row r="103">
      <c r="A103" t="n">
        <v>102</v>
      </c>
      <c r="B103" t="inlineStr">
        <is>
          <t>40360530</t>
        </is>
      </c>
    </row>
    <row r="104">
      <c r="A104" t="n">
        <v>103</v>
      </c>
      <c r="B104" t="inlineStr">
        <is>
          <t>40710530</t>
        </is>
      </c>
    </row>
    <row r="105">
      <c r="A105" t="n">
        <v>104</v>
      </c>
      <c r="B105" t="inlineStr"/>
    </row>
    <row r="106">
      <c r="A106" t="n">
        <v>105</v>
      </c>
      <c r="B106" t="inlineStr"/>
    </row>
    <row r="107">
      <c r="A107" t="n">
        <v>106</v>
      </c>
      <c r="B107" t="inlineStr"/>
    </row>
    <row r="108">
      <c r="A108" t="n">
        <v>107</v>
      </c>
      <c r="B108" t="inlineStr"/>
    </row>
    <row r="109">
      <c r="A109" t="n">
        <v>108</v>
      </c>
      <c r="B109" t="inlineStr">
        <is>
          <t>40280530</t>
        </is>
      </c>
    </row>
    <row r="110">
      <c r="A110" t="n">
        <v>109</v>
      </c>
      <c r="B110" t="inlineStr"/>
    </row>
    <row r="111">
      <c r="A111" t="n">
        <v>110</v>
      </c>
      <c r="B111" t="inlineStr"/>
    </row>
    <row r="112">
      <c r="A112" t="n">
        <v>111</v>
      </c>
      <c r="B112" t="inlineStr"/>
    </row>
    <row r="113">
      <c r="A113" t="n">
        <v>112</v>
      </c>
      <c r="B113" t="inlineStr">
        <is>
          <t>40214943</t>
        </is>
      </c>
    </row>
    <row r="114">
      <c r="A114" t="n">
        <v>113</v>
      </c>
      <c r="B114" t="inlineStr">
        <is>
          <t>40957320</t>
        </is>
      </c>
    </row>
    <row r="115">
      <c r="A115" t="n">
        <v>114</v>
      </c>
      <c r="B115" t="inlineStr"/>
    </row>
    <row r="116">
      <c r="A116" t="n">
        <v>115</v>
      </c>
      <c r="B116" t="inlineStr"/>
    </row>
    <row r="117">
      <c r="A117" t="n">
        <v>116</v>
      </c>
      <c r="B117" t="inlineStr"/>
    </row>
    <row r="118">
      <c r="A118" t="n">
        <v>117</v>
      </c>
      <c r="B118" t="inlineStr"/>
    </row>
    <row r="119">
      <c r="A119" t="n">
        <v>118</v>
      </c>
      <c r="B119" t="inlineStr">
        <is>
          <t>40397233</t>
        </is>
      </c>
    </row>
    <row r="120">
      <c r="A120" t="n">
        <v>119</v>
      </c>
      <c r="B120" t="inlineStr">
        <is>
          <t>40607428</t>
        </is>
      </c>
    </row>
    <row r="121">
      <c r="A121" t="n">
        <v>120</v>
      </c>
      <c r="B121" t="inlineStr">
        <is>
          <t>40710530</t>
        </is>
      </c>
    </row>
    <row r="122">
      <c r="A122" t="n">
        <v>121</v>
      </c>
      <c r="B122" t="inlineStr"/>
    </row>
    <row r="123">
      <c r="A123" t="n">
        <v>122</v>
      </c>
      <c r="B123" t="inlineStr">
        <is>
          <t>40229779</t>
        </is>
      </c>
    </row>
    <row r="124">
      <c r="A124" t="n">
        <v>123</v>
      </c>
      <c r="B124" t="inlineStr">
        <is>
          <t>40970777</t>
        </is>
      </c>
    </row>
    <row r="125">
      <c r="A125" t="n">
        <v>124</v>
      </c>
      <c r="B125" t="inlineStr"/>
    </row>
    <row r="126">
      <c r="A126" t="n">
        <v>125</v>
      </c>
      <c r="B126" t="inlineStr"/>
    </row>
    <row r="127">
      <c r="A127" t="n">
        <v>126</v>
      </c>
      <c r="B127" t="inlineStr"/>
    </row>
    <row r="128">
      <c r="A128" t="n">
        <v>127</v>
      </c>
      <c r="B128" t="inlineStr"/>
    </row>
    <row r="129">
      <c r="A129" t="n">
        <v>128</v>
      </c>
      <c r="B129" t="inlineStr"/>
    </row>
    <row r="130">
      <c r="A130" t="n">
        <v>129</v>
      </c>
      <c r="B130" t="inlineStr">
        <is>
          <t>40404197</t>
        </is>
      </c>
    </row>
    <row r="131">
      <c r="A131" t="n">
        <v>130</v>
      </c>
      <c r="B131" t="inlineStr"/>
    </row>
    <row r="132">
      <c r="A132" t="n">
        <v>131</v>
      </c>
      <c r="B132" t="inlineStr">
        <is>
          <t>40875717</t>
        </is>
      </c>
    </row>
    <row r="133">
      <c r="A133" t="n">
        <v>132</v>
      </c>
      <c r="B133" t="inlineStr"/>
    </row>
    <row r="134">
      <c r="A134" t="n">
        <v>133</v>
      </c>
      <c r="B134" t="inlineStr">
        <is>
          <t>40280530</t>
        </is>
      </c>
    </row>
    <row r="135">
      <c r="A135" t="n">
        <v>134</v>
      </c>
      <c r="B135" t="inlineStr"/>
    </row>
    <row r="136">
      <c r="A136" t="n">
        <v>135</v>
      </c>
      <c r="B136" t="inlineStr">
        <is>
          <t>40775919</t>
        </is>
      </c>
    </row>
    <row r="137">
      <c r="A137" t="n">
        <v>136</v>
      </c>
      <c r="B137" t="inlineStr"/>
    </row>
    <row r="138">
      <c r="A138" t="n">
        <v>137</v>
      </c>
      <c r="B138" t="inlineStr">
        <is>
          <t>40951642</t>
        </is>
      </c>
    </row>
    <row r="139">
      <c r="A139" t="n">
        <v>138</v>
      </c>
      <c r="B139" t="inlineStr"/>
    </row>
    <row r="140">
      <c r="A140" t="n">
        <v>139</v>
      </c>
      <c r="B140" t="inlineStr"/>
    </row>
    <row r="141">
      <c r="A141" t="n">
        <v>140</v>
      </c>
      <c r="B141" t="inlineStr">
        <is>
          <t>40775919</t>
        </is>
      </c>
    </row>
    <row r="142">
      <c r="A142" t="n">
        <v>141</v>
      </c>
      <c r="B142" t="inlineStr">
        <is>
          <t>40280530</t>
        </is>
      </c>
    </row>
    <row r="143">
      <c r="A143" t="n">
        <v>142</v>
      </c>
      <c r="B143" t="inlineStr"/>
    </row>
    <row r="144">
      <c r="A144" t="n">
        <v>143</v>
      </c>
      <c r="B144" t="inlineStr"/>
    </row>
    <row r="145">
      <c r="A145" t="n">
        <v>144</v>
      </c>
      <c r="B145" t="inlineStr"/>
    </row>
    <row r="146">
      <c r="A146" t="n">
        <v>145</v>
      </c>
      <c r="B146" t="inlineStr">
        <is>
          <t>40560777</t>
        </is>
      </c>
    </row>
    <row r="147">
      <c r="A147" t="n">
        <v>146</v>
      </c>
      <c r="B147" t="inlineStr">
        <is>
          <t>40316823</t>
        </is>
      </c>
    </row>
    <row r="148">
      <c r="A148" t="n">
        <v>147</v>
      </c>
      <c r="B148" t="inlineStr"/>
    </row>
    <row r="149">
      <c r="A149" t="n">
        <v>148</v>
      </c>
      <c r="B149" t="inlineStr"/>
    </row>
    <row r="150">
      <c r="A150" t="n">
        <v>149</v>
      </c>
      <c r="B150" t="inlineStr"/>
    </row>
    <row r="151">
      <c r="A151" t="n">
        <v>150</v>
      </c>
      <c r="B151" t="inlineStr"/>
    </row>
    <row r="152">
      <c r="A152" t="n">
        <v>151</v>
      </c>
      <c r="B152" t="inlineStr">
        <is>
          <t>40383028</t>
        </is>
      </c>
    </row>
    <row r="153">
      <c r="A153" t="n">
        <v>152</v>
      </c>
      <c r="B153" t="inlineStr">
        <is>
          <t>40211614</t>
        </is>
      </c>
    </row>
    <row r="154">
      <c r="A154" t="n">
        <v>153</v>
      </c>
      <c r="B154" t="inlineStr">
        <is>
          <t>40360530</t>
        </is>
      </c>
    </row>
    <row r="155">
      <c r="A155" t="n">
        <v>154</v>
      </c>
      <c r="B155" t="inlineStr"/>
    </row>
    <row r="156">
      <c r="A156" t="n">
        <v>155</v>
      </c>
      <c r="B156" t="inlineStr"/>
    </row>
    <row r="157">
      <c r="A157" t="n">
        <v>156</v>
      </c>
      <c r="B157" t="inlineStr">
        <is>
          <t>40362103</t>
        </is>
      </c>
    </row>
    <row r="158">
      <c r="A158" t="n">
        <v>157</v>
      </c>
      <c r="B158" t="inlineStr">
        <is>
          <t>40280530</t>
        </is>
      </c>
    </row>
    <row r="159">
      <c r="A159" t="n">
        <v>158</v>
      </c>
      <c r="B159" t="inlineStr"/>
    </row>
    <row r="160">
      <c r="A160" t="n">
        <v>159</v>
      </c>
      <c r="B160" t="inlineStr"/>
    </row>
    <row r="161">
      <c r="A161" t="n">
        <v>160</v>
      </c>
      <c r="B161" t="inlineStr">
        <is>
          <t>40383028</t>
        </is>
      </c>
    </row>
    <row r="162">
      <c r="A162" t="n">
        <v>161</v>
      </c>
      <c r="B162" t="inlineStr"/>
    </row>
    <row r="163">
      <c r="A163" t="n">
        <v>162</v>
      </c>
      <c r="B163" t="inlineStr"/>
    </row>
    <row r="164">
      <c r="A164" t="n">
        <v>163</v>
      </c>
      <c r="B164" t="inlineStr">
        <is>
          <t>40316823</t>
        </is>
      </c>
    </row>
    <row r="165">
      <c r="A165" t="n">
        <v>164</v>
      </c>
      <c r="B165" t="inlineStr">
        <is>
          <t>40227101</t>
        </is>
      </c>
    </row>
    <row r="166">
      <c r="A166" t="n">
        <v>165</v>
      </c>
      <c r="B166" t="inlineStr">
        <is>
          <t>40710530</t>
        </is>
      </c>
    </row>
    <row r="167">
      <c r="A167" t="n">
        <v>166</v>
      </c>
      <c r="B167" t="inlineStr">
        <is>
          <t>40316823</t>
        </is>
      </c>
    </row>
    <row r="168">
      <c r="A168" t="n">
        <v>167</v>
      </c>
      <c r="B168" t="inlineStr"/>
    </row>
    <row r="169">
      <c r="A169" t="n">
        <v>168</v>
      </c>
      <c r="B169" t="inlineStr">
        <is>
          <t>40498927</t>
        </is>
      </c>
    </row>
    <row r="170">
      <c r="A170" t="n">
        <v>169</v>
      </c>
      <c r="B170" t="inlineStr"/>
    </row>
    <row r="171">
      <c r="A171" t="n">
        <v>170</v>
      </c>
      <c r="B171" t="inlineStr">
        <is>
          <t>40335070</t>
        </is>
      </c>
    </row>
    <row r="172">
      <c r="A172" t="n">
        <v>171</v>
      </c>
      <c r="B172" t="inlineStr"/>
    </row>
    <row r="173">
      <c r="A173" t="n">
        <v>172</v>
      </c>
      <c r="B173" t="inlineStr"/>
    </row>
    <row r="174">
      <c r="A174" t="n">
        <v>173</v>
      </c>
      <c r="B174" t="inlineStr"/>
    </row>
    <row r="175">
      <c r="A175" t="n">
        <v>174</v>
      </c>
      <c r="B175" t="inlineStr"/>
    </row>
    <row r="176">
      <c r="A176" t="n">
        <v>175</v>
      </c>
      <c r="B176" t="inlineStr"/>
    </row>
    <row r="177">
      <c r="A177" t="n">
        <v>176</v>
      </c>
      <c r="B177" t="inlineStr">
        <is>
          <t>40858945</t>
        </is>
      </c>
    </row>
    <row r="178">
      <c r="A178" t="n">
        <v>177</v>
      </c>
      <c r="B178" t="inlineStr">
        <is>
          <t>40783478</t>
        </is>
      </c>
    </row>
    <row r="179">
      <c r="A179" t="n">
        <v>178</v>
      </c>
      <c r="B179" t="inlineStr"/>
    </row>
    <row r="180">
      <c r="A180" t="n">
        <v>179</v>
      </c>
      <c r="B180" t="inlineStr"/>
    </row>
    <row r="181">
      <c r="A181" t="n">
        <v>180</v>
      </c>
      <c r="B181" t="inlineStr"/>
    </row>
    <row r="182">
      <c r="A182" t="n">
        <v>181</v>
      </c>
      <c r="B182" t="inlineStr"/>
    </row>
    <row r="183">
      <c r="A183" t="n">
        <v>182</v>
      </c>
      <c r="B183" t="inlineStr"/>
    </row>
    <row r="184">
      <c r="A184" t="n">
        <v>183</v>
      </c>
      <c r="B184" t="inlineStr">
        <is>
          <t>40436613</t>
        </is>
      </c>
    </row>
    <row r="185">
      <c r="A185" t="n">
        <v>184</v>
      </c>
      <c r="B185" t="inlineStr"/>
    </row>
    <row r="186">
      <c r="A186" t="n">
        <v>185</v>
      </c>
      <c r="B186" t="inlineStr">
        <is>
          <t>40866571</t>
        </is>
      </c>
    </row>
    <row r="187">
      <c r="A187" t="n">
        <v>186</v>
      </c>
      <c r="B187" t="inlineStr"/>
    </row>
    <row r="188">
      <c r="A188" t="n">
        <v>187</v>
      </c>
      <c r="B188" t="inlineStr"/>
    </row>
    <row r="189">
      <c r="A189" t="n">
        <v>188</v>
      </c>
      <c r="B189" t="inlineStr"/>
    </row>
    <row r="190">
      <c r="A190" t="n">
        <v>189</v>
      </c>
      <c r="B190" t="inlineStr">
        <is>
          <t>40442533</t>
        </is>
      </c>
    </row>
    <row r="191">
      <c r="A191" t="n">
        <v>190</v>
      </c>
      <c r="B191" t="inlineStr"/>
    </row>
    <row r="192">
      <c r="A192" t="n">
        <v>191</v>
      </c>
      <c r="B192" t="inlineStr"/>
    </row>
    <row r="193">
      <c r="A193" t="n">
        <v>192</v>
      </c>
      <c r="B193" t="inlineStr"/>
    </row>
    <row r="194">
      <c r="A194" t="n">
        <v>193</v>
      </c>
      <c r="B194" t="inlineStr"/>
    </row>
    <row r="195">
      <c r="A195" t="n">
        <v>194</v>
      </c>
      <c r="B195" t="inlineStr"/>
    </row>
    <row r="196">
      <c r="A196" t="n">
        <v>195</v>
      </c>
      <c r="B196" t="inlineStr"/>
    </row>
    <row r="197">
      <c r="A197" t="n">
        <v>196</v>
      </c>
      <c r="B197" t="inlineStr"/>
    </row>
    <row r="198">
      <c r="A198" t="n">
        <v>197</v>
      </c>
      <c r="B198" t="inlineStr">
        <is>
          <t>40287867</t>
        </is>
      </c>
    </row>
    <row r="199">
      <c r="A199" t="n">
        <v>198</v>
      </c>
      <c r="B199" t="inlineStr"/>
    </row>
    <row r="200">
      <c r="A200" t="n">
        <v>199</v>
      </c>
      <c r="B200" t="inlineStr"/>
    </row>
    <row r="201">
      <c r="A201" t="n">
        <v>200</v>
      </c>
      <c r="B201" t="inlineStr">
        <is>
          <t>40287867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>
      <c r="A1" t="inlineStr">
        <is>
          <t>Zeit</t>
        </is>
      </c>
      <c r="B1" t="inlineStr">
        <is>
          <t>Stellplatz</t>
        </is>
      </c>
      <c r="C1" t="inlineStr">
        <is>
          <t>SAP</t>
        </is>
      </c>
      <c r="D1" t="inlineStr">
        <is>
          <t>Aktion</t>
        </is>
      </c>
      <c r="E1" t="inlineStr">
        <is>
          <t>Einheit</t>
        </is>
      </c>
      <c r="F1" t="inlineStr">
        <is>
          <t>Anzahl</t>
        </is>
      </c>
      <c r="G1" t="inlineStr">
        <is>
          <t>Stueck</t>
        </is>
      </c>
      <c r="H1" t="inlineStr">
        <is>
          <t>NeuerBestand</t>
        </is>
      </c>
    </row>
    <row r="2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24" customWidth="1" min="4" max="4"/>
    <col width="14" customWidth="1" min="5" max="5"/>
    <col width="20" customWidth="1" min="6" max="6"/>
  </cols>
  <sheetData>
    <row r="1">
      <c r="A1" s="2" t="inlineStr">
        <is>
          <t>Stellplatz</t>
        </is>
      </c>
      <c r="B1" s="2" t="inlineStr">
        <is>
          <t>SAP</t>
        </is>
      </c>
      <c r="C1" s="2" t="inlineStr">
        <is>
          <t>Bezeichnung</t>
        </is>
      </c>
      <c r="D1" s="2" t="inlineStr">
        <is>
          <t>Lagerstand (alle Plaetze)</t>
        </is>
      </c>
      <c r="E1" s="2" t="inlineStr">
        <is>
          <t>Meldebestand</t>
        </is>
      </c>
      <c r="F1" s="2" t="inlineStr">
        <is>
          <t>Unter Meldebestand?</t>
        </is>
      </c>
    </row>
    <row r="2">
      <c r="A2">
        <f>IFERROR(INDEX(tblStellplatz[Stellplatz],ROW()-1),"")</f>
        <v/>
      </c>
      <c r="B2">
        <f>IFERROR(INDEX(tblStellplatz[SAP],ROW()-1),"")</f>
        <v/>
      </c>
      <c r="C2">
        <f>IF(B2="","",IFERROR(INDEX(tblMaterial[Bezeichnung],MATCH(B2,tblMaterial[SAP],0)),"?"))</f>
        <v/>
      </c>
      <c r="D2">
        <f>IF(B2="","",IFERROR(INDEX(tblMaterial[Lagerstand],MATCH(B2,tblMaterial[SAP],0)),"?"))</f>
        <v/>
      </c>
      <c r="E2">
        <f>IF(B2="","",IFERROR(INDEX(tblMaterial[Meldebestand],MATCH(B2,tblMaterial[SAP],0)),"?"))</f>
        <v/>
      </c>
      <c r="F2">
        <f>IF(OR(B2="",NOT(ISNUMBER(D2))),"",IF(D2&lt;E2,"JA",""))</f>
        <v/>
      </c>
    </row>
    <row r="3">
      <c r="A3">
        <f>IFERROR(INDEX(tblStellplatz[Stellplatz],ROW()-1),"")</f>
        <v/>
      </c>
      <c r="B3">
        <f>IFERROR(INDEX(tblStellplatz[SAP],ROW()-1),"")</f>
        <v/>
      </c>
      <c r="C3">
        <f>IF(B3="","",IFERROR(INDEX(tblMaterial[Bezeichnung],MATCH(B3,tblMaterial[SAP],0)),"?"))</f>
        <v/>
      </c>
      <c r="D3">
        <f>IF(B3="","",IFERROR(INDEX(tblMaterial[Lagerstand],MATCH(B3,tblMaterial[SAP],0)),"?"))</f>
        <v/>
      </c>
      <c r="E3">
        <f>IF(B3="","",IFERROR(INDEX(tblMaterial[Meldebestand],MATCH(B3,tblMaterial[SAP],0)),"?"))</f>
        <v/>
      </c>
      <c r="F3">
        <f>IF(OR(B3="",NOT(ISNUMBER(D3))),"",IF(D3&lt;E3,"JA",""))</f>
        <v/>
      </c>
    </row>
    <row r="4">
      <c r="A4">
        <f>IFERROR(INDEX(tblStellplatz[Stellplatz],ROW()-1),"")</f>
        <v/>
      </c>
      <c r="B4">
        <f>IFERROR(INDEX(tblStellplatz[SAP],ROW()-1),"")</f>
        <v/>
      </c>
      <c r="C4">
        <f>IF(B4="","",IFERROR(INDEX(tblMaterial[Bezeichnung],MATCH(B4,tblMaterial[SAP],0)),"?"))</f>
        <v/>
      </c>
      <c r="D4">
        <f>IF(B4="","",IFERROR(INDEX(tblMaterial[Lagerstand],MATCH(B4,tblMaterial[SAP],0)),"?"))</f>
        <v/>
      </c>
      <c r="E4">
        <f>IF(B4="","",IFERROR(INDEX(tblMaterial[Meldebestand],MATCH(B4,tblMaterial[SAP],0)),"?"))</f>
        <v/>
      </c>
      <c r="F4">
        <f>IF(OR(B4="",NOT(ISNUMBER(D4))),"",IF(D4&lt;E4,"JA",""))</f>
        <v/>
      </c>
    </row>
    <row r="5">
      <c r="A5">
        <f>IFERROR(INDEX(tblStellplatz[Stellplatz],ROW()-1),"")</f>
        <v/>
      </c>
      <c r="B5">
        <f>IFERROR(INDEX(tblStellplatz[SAP],ROW()-1),"")</f>
        <v/>
      </c>
      <c r="C5">
        <f>IF(B5="","",IFERROR(INDEX(tblMaterial[Bezeichnung],MATCH(B5,tblMaterial[SAP],0)),"?"))</f>
        <v/>
      </c>
      <c r="D5">
        <f>IF(B5="","",IFERROR(INDEX(tblMaterial[Lagerstand],MATCH(B5,tblMaterial[SAP],0)),"?"))</f>
        <v/>
      </c>
      <c r="E5">
        <f>IF(B5="","",IFERROR(INDEX(tblMaterial[Meldebestand],MATCH(B5,tblMaterial[SAP],0)),"?"))</f>
        <v/>
      </c>
      <c r="F5">
        <f>IF(OR(B5="",NOT(ISNUMBER(D5))),"",IF(D5&lt;E5,"JA",""))</f>
        <v/>
      </c>
    </row>
    <row r="6">
      <c r="A6">
        <f>IFERROR(INDEX(tblStellplatz[Stellplatz],ROW()-1),"")</f>
        <v/>
      </c>
      <c r="B6">
        <f>IFERROR(INDEX(tblStellplatz[SAP],ROW()-1),"")</f>
        <v/>
      </c>
      <c r="C6">
        <f>IF(B6="","",IFERROR(INDEX(tblMaterial[Bezeichnung],MATCH(B6,tblMaterial[SAP],0)),"?"))</f>
        <v/>
      </c>
      <c r="D6">
        <f>IF(B6="","",IFERROR(INDEX(tblMaterial[Lagerstand],MATCH(B6,tblMaterial[SAP],0)),"?"))</f>
        <v/>
      </c>
      <c r="E6">
        <f>IF(B6="","",IFERROR(INDEX(tblMaterial[Meldebestand],MATCH(B6,tblMaterial[SAP],0)),"?"))</f>
        <v/>
      </c>
      <c r="F6">
        <f>IF(OR(B6="",NOT(ISNUMBER(D6))),"",IF(D6&lt;E6,"JA",""))</f>
        <v/>
      </c>
    </row>
    <row r="7">
      <c r="A7">
        <f>IFERROR(INDEX(tblStellplatz[Stellplatz],ROW()-1),"")</f>
        <v/>
      </c>
      <c r="B7">
        <f>IFERROR(INDEX(tblStellplatz[SAP],ROW()-1),"")</f>
        <v/>
      </c>
      <c r="C7">
        <f>IF(B7="","",IFERROR(INDEX(tblMaterial[Bezeichnung],MATCH(B7,tblMaterial[SAP],0)),"?"))</f>
        <v/>
      </c>
      <c r="D7">
        <f>IF(B7="","",IFERROR(INDEX(tblMaterial[Lagerstand],MATCH(B7,tblMaterial[SAP],0)),"?"))</f>
        <v/>
      </c>
      <c r="E7">
        <f>IF(B7="","",IFERROR(INDEX(tblMaterial[Meldebestand],MATCH(B7,tblMaterial[SAP],0)),"?"))</f>
        <v/>
      </c>
      <c r="F7">
        <f>IF(OR(B7="",NOT(ISNUMBER(D7))),"",IF(D7&lt;E7,"JA",""))</f>
        <v/>
      </c>
    </row>
    <row r="8">
      <c r="A8">
        <f>IFERROR(INDEX(tblStellplatz[Stellplatz],ROW()-1),"")</f>
        <v/>
      </c>
      <c r="B8">
        <f>IFERROR(INDEX(tblStellplatz[SAP],ROW()-1),"")</f>
        <v/>
      </c>
      <c r="C8">
        <f>IF(B8="","",IFERROR(INDEX(tblMaterial[Bezeichnung],MATCH(B8,tblMaterial[SAP],0)),"?"))</f>
        <v/>
      </c>
      <c r="D8">
        <f>IF(B8="","",IFERROR(INDEX(tblMaterial[Lagerstand],MATCH(B8,tblMaterial[SAP],0)),"?"))</f>
        <v/>
      </c>
      <c r="E8">
        <f>IF(B8="","",IFERROR(INDEX(tblMaterial[Meldebestand],MATCH(B8,tblMaterial[SAP],0)),"?"))</f>
        <v/>
      </c>
      <c r="F8">
        <f>IF(OR(B8="",NOT(ISNUMBER(D8))),"",IF(D8&lt;E8,"JA",""))</f>
        <v/>
      </c>
    </row>
    <row r="9">
      <c r="A9">
        <f>IFERROR(INDEX(tblStellplatz[Stellplatz],ROW()-1),"")</f>
        <v/>
      </c>
      <c r="B9">
        <f>IFERROR(INDEX(tblStellplatz[SAP],ROW()-1),"")</f>
        <v/>
      </c>
      <c r="C9">
        <f>IF(B9="","",IFERROR(INDEX(tblMaterial[Bezeichnung],MATCH(B9,tblMaterial[SAP],0)),"?"))</f>
        <v/>
      </c>
      <c r="D9">
        <f>IF(B9="","",IFERROR(INDEX(tblMaterial[Lagerstand],MATCH(B9,tblMaterial[SAP],0)),"?"))</f>
        <v/>
      </c>
      <c r="E9">
        <f>IF(B9="","",IFERROR(INDEX(tblMaterial[Meldebestand],MATCH(B9,tblMaterial[SAP],0)),"?"))</f>
        <v/>
      </c>
      <c r="F9">
        <f>IF(OR(B9="",NOT(ISNUMBER(D9))),"",IF(D9&lt;E9,"JA",""))</f>
        <v/>
      </c>
    </row>
    <row r="10">
      <c r="A10">
        <f>IFERROR(INDEX(tblStellplatz[Stellplatz],ROW()-1),"")</f>
        <v/>
      </c>
      <c r="B10">
        <f>IFERROR(INDEX(tblStellplatz[SAP],ROW()-1),"")</f>
        <v/>
      </c>
      <c r="C10">
        <f>IF(B10="","",IFERROR(INDEX(tblMaterial[Bezeichnung],MATCH(B10,tblMaterial[SAP],0)),"?"))</f>
        <v/>
      </c>
      <c r="D10">
        <f>IF(B10="","",IFERROR(INDEX(tblMaterial[Lagerstand],MATCH(B10,tblMaterial[SAP],0)),"?"))</f>
        <v/>
      </c>
      <c r="E10">
        <f>IF(B10="","",IFERROR(INDEX(tblMaterial[Meldebestand],MATCH(B10,tblMaterial[SAP],0)),"?"))</f>
        <v/>
      </c>
      <c r="F10">
        <f>IF(OR(B10="",NOT(ISNUMBER(D10))),"",IF(D10&lt;E10,"JA",""))</f>
        <v/>
      </c>
    </row>
    <row r="11">
      <c r="A11">
        <f>IFERROR(INDEX(tblStellplatz[Stellplatz],ROW()-1),"")</f>
        <v/>
      </c>
      <c r="B11">
        <f>IFERROR(INDEX(tblStellplatz[SAP],ROW()-1),"")</f>
        <v/>
      </c>
      <c r="C11">
        <f>IF(B11="","",IFERROR(INDEX(tblMaterial[Bezeichnung],MATCH(B11,tblMaterial[SAP],0)),"?"))</f>
        <v/>
      </c>
      <c r="D11">
        <f>IF(B11="","",IFERROR(INDEX(tblMaterial[Lagerstand],MATCH(B11,tblMaterial[SAP],0)),"?"))</f>
        <v/>
      </c>
      <c r="E11">
        <f>IF(B11="","",IFERROR(INDEX(tblMaterial[Meldebestand],MATCH(B11,tblMaterial[SAP],0)),"?"))</f>
        <v/>
      </c>
      <c r="F11">
        <f>IF(OR(B11="",NOT(ISNUMBER(D11))),"",IF(D11&lt;E11,"JA",""))</f>
        <v/>
      </c>
    </row>
    <row r="12">
      <c r="A12">
        <f>IFERROR(INDEX(tblStellplatz[Stellplatz],ROW()-1),"")</f>
        <v/>
      </c>
      <c r="B12">
        <f>IFERROR(INDEX(tblStellplatz[SAP],ROW()-1),"")</f>
        <v/>
      </c>
      <c r="C12">
        <f>IF(B12="","",IFERROR(INDEX(tblMaterial[Bezeichnung],MATCH(B12,tblMaterial[SAP],0)),"?"))</f>
        <v/>
      </c>
      <c r="D12">
        <f>IF(B12="","",IFERROR(INDEX(tblMaterial[Lagerstand],MATCH(B12,tblMaterial[SAP],0)),"?"))</f>
        <v/>
      </c>
      <c r="E12">
        <f>IF(B12="","",IFERROR(INDEX(tblMaterial[Meldebestand],MATCH(B12,tblMaterial[SAP],0)),"?"))</f>
        <v/>
      </c>
      <c r="F12">
        <f>IF(OR(B12="",NOT(ISNUMBER(D12))),"",IF(D12&lt;E12,"JA",""))</f>
        <v/>
      </c>
    </row>
    <row r="13">
      <c r="A13">
        <f>IFERROR(INDEX(tblStellplatz[Stellplatz],ROW()-1),"")</f>
        <v/>
      </c>
      <c r="B13">
        <f>IFERROR(INDEX(tblStellplatz[SAP],ROW()-1),"")</f>
        <v/>
      </c>
      <c r="C13">
        <f>IF(B13="","",IFERROR(INDEX(tblMaterial[Bezeichnung],MATCH(B13,tblMaterial[SAP],0)),"?"))</f>
        <v/>
      </c>
      <c r="D13">
        <f>IF(B13="","",IFERROR(INDEX(tblMaterial[Lagerstand],MATCH(B13,tblMaterial[SAP],0)),"?"))</f>
        <v/>
      </c>
      <c r="E13">
        <f>IF(B13="","",IFERROR(INDEX(tblMaterial[Meldebestand],MATCH(B13,tblMaterial[SAP],0)),"?"))</f>
        <v/>
      </c>
      <c r="F13">
        <f>IF(OR(B13="",NOT(ISNUMBER(D13))),"",IF(D13&lt;E13,"JA",""))</f>
        <v/>
      </c>
    </row>
    <row r="14">
      <c r="A14">
        <f>IFERROR(INDEX(tblStellplatz[Stellplatz],ROW()-1),"")</f>
        <v/>
      </c>
      <c r="B14">
        <f>IFERROR(INDEX(tblStellplatz[SAP],ROW()-1),"")</f>
        <v/>
      </c>
      <c r="C14">
        <f>IF(B14="","",IFERROR(INDEX(tblMaterial[Bezeichnung],MATCH(B14,tblMaterial[SAP],0)),"?"))</f>
        <v/>
      </c>
      <c r="D14">
        <f>IF(B14="","",IFERROR(INDEX(tblMaterial[Lagerstand],MATCH(B14,tblMaterial[SAP],0)),"?"))</f>
        <v/>
      </c>
      <c r="E14">
        <f>IF(B14="","",IFERROR(INDEX(tblMaterial[Meldebestand],MATCH(B14,tblMaterial[SAP],0)),"?"))</f>
        <v/>
      </c>
      <c r="F14">
        <f>IF(OR(B14="",NOT(ISNUMBER(D14))),"",IF(D14&lt;E14,"JA",""))</f>
        <v/>
      </c>
    </row>
    <row r="15">
      <c r="A15">
        <f>IFERROR(INDEX(tblStellplatz[Stellplatz],ROW()-1),"")</f>
        <v/>
      </c>
      <c r="B15">
        <f>IFERROR(INDEX(tblStellplatz[SAP],ROW()-1),"")</f>
        <v/>
      </c>
      <c r="C15">
        <f>IF(B15="","",IFERROR(INDEX(tblMaterial[Bezeichnung],MATCH(B15,tblMaterial[SAP],0)),"?"))</f>
        <v/>
      </c>
      <c r="D15">
        <f>IF(B15="","",IFERROR(INDEX(tblMaterial[Lagerstand],MATCH(B15,tblMaterial[SAP],0)),"?"))</f>
        <v/>
      </c>
      <c r="E15">
        <f>IF(B15="","",IFERROR(INDEX(tblMaterial[Meldebestand],MATCH(B15,tblMaterial[SAP],0)),"?"))</f>
        <v/>
      </c>
      <c r="F15">
        <f>IF(OR(B15="",NOT(ISNUMBER(D15))),"",IF(D15&lt;E15,"JA",""))</f>
        <v/>
      </c>
    </row>
    <row r="16">
      <c r="A16">
        <f>IFERROR(INDEX(tblStellplatz[Stellplatz],ROW()-1),"")</f>
        <v/>
      </c>
      <c r="B16">
        <f>IFERROR(INDEX(tblStellplatz[SAP],ROW()-1),"")</f>
        <v/>
      </c>
      <c r="C16">
        <f>IF(B16="","",IFERROR(INDEX(tblMaterial[Bezeichnung],MATCH(B16,tblMaterial[SAP],0)),"?"))</f>
        <v/>
      </c>
      <c r="D16">
        <f>IF(B16="","",IFERROR(INDEX(tblMaterial[Lagerstand],MATCH(B16,tblMaterial[SAP],0)),"?"))</f>
        <v/>
      </c>
      <c r="E16">
        <f>IF(B16="","",IFERROR(INDEX(tblMaterial[Meldebestand],MATCH(B16,tblMaterial[SAP],0)),"?"))</f>
        <v/>
      </c>
      <c r="F16">
        <f>IF(OR(B16="",NOT(ISNUMBER(D16))),"",IF(D16&lt;E16,"JA",""))</f>
        <v/>
      </c>
    </row>
    <row r="17">
      <c r="A17">
        <f>IFERROR(INDEX(tblStellplatz[Stellplatz],ROW()-1),"")</f>
        <v/>
      </c>
      <c r="B17">
        <f>IFERROR(INDEX(tblStellplatz[SAP],ROW()-1),"")</f>
        <v/>
      </c>
      <c r="C17">
        <f>IF(B17="","",IFERROR(INDEX(tblMaterial[Bezeichnung],MATCH(B17,tblMaterial[SAP],0)),"?"))</f>
        <v/>
      </c>
      <c r="D17">
        <f>IF(B17="","",IFERROR(INDEX(tblMaterial[Lagerstand],MATCH(B17,tblMaterial[SAP],0)),"?"))</f>
        <v/>
      </c>
      <c r="E17">
        <f>IF(B17="","",IFERROR(INDEX(tblMaterial[Meldebestand],MATCH(B17,tblMaterial[SAP],0)),"?"))</f>
        <v/>
      </c>
      <c r="F17">
        <f>IF(OR(B17="",NOT(ISNUMBER(D17))),"",IF(D17&lt;E17,"JA",""))</f>
        <v/>
      </c>
    </row>
    <row r="18">
      <c r="A18">
        <f>IFERROR(INDEX(tblStellplatz[Stellplatz],ROW()-1),"")</f>
        <v/>
      </c>
      <c r="B18">
        <f>IFERROR(INDEX(tblStellplatz[SAP],ROW()-1),"")</f>
        <v/>
      </c>
      <c r="C18">
        <f>IF(B18="","",IFERROR(INDEX(tblMaterial[Bezeichnung],MATCH(B18,tblMaterial[SAP],0)),"?"))</f>
        <v/>
      </c>
      <c r="D18">
        <f>IF(B18="","",IFERROR(INDEX(tblMaterial[Lagerstand],MATCH(B18,tblMaterial[SAP],0)),"?"))</f>
        <v/>
      </c>
      <c r="E18">
        <f>IF(B18="","",IFERROR(INDEX(tblMaterial[Meldebestand],MATCH(B18,tblMaterial[SAP],0)),"?"))</f>
        <v/>
      </c>
      <c r="F18">
        <f>IF(OR(B18="",NOT(ISNUMBER(D18))),"",IF(D18&lt;E18,"JA",""))</f>
        <v/>
      </c>
    </row>
    <row r="19">
      <c r="A19">
        <f>IFERROR(INDEX(tblStellplatz[Stellplatz],ROW()-1),"")</f>
        <v/>
      </c>
      <c r="B19">
        <f>IFERROR(INDEX(tblStellplatz[SAP],ROW()-1),"")</f>
        <v/>
      </c>
      <c r="C19">
        <f>IF(B19="","",IFERROR(INDEX(tblMaterial[Bezeichnung],MATCH(B19,tblMaterial[SAP],0)),"?"))</f>
        <v/>
      </c>
      <c r="D19">
        <f>IF(B19="","",IFERROR(INDEX(tblMaterial[Lagerstand],MATCH(B19,tblMaterial[SAP],0)),"?"))</f>
        <v/>
      </c>
      <c r="E19">
        <f>IF(B19="","",IFERROR(INDEX(tblMaterial[Meldebestand],MATCH(B19,tblMaterial[SAP],0)),"?"))</f>
        <v/>
      </c>
      <c r="F19">
        <f>IF(OR(B19="",NOT(ISNUMBER(D19))),"",IF(D19&lt;E19,"JA",""))</f>
        <v/>
      </c>
    </row>
    <row r="20">
      <c r="A20">
        <f>IFERROR(INDEX(tblStellplatz[Stellplatz],ROW()-1),"")</f>
        <v/>
      </c>
      <c r="B20">
        <f>IFERROR(INDEX(tblStellplatz[SAP],ROW()-1),"")</f>
        <v/>
      </c>
      <c r="C20">
        <f>IF(B20="","",IFERROR(INDEX(tblMaterial[Bezeichnung],MATCH(B20,tblMaterial[SAP],0)),"?"))</f>
        <v/>
      </c>
      <c r="D20">
        <f>IF(B20="","",IFERROR(INDEX(tblMaterial[Lagerstand],MATCH(B20,tblMaterial[SAP],0)),"?"))</f>
        <v/>
      </c>
      <c r="E20">
        <f>IF(B20="","",IFERROR(INDEX(tblMaterial[Meldebestand],MATCH(B20,tblMaterial[SAP],0)),"?"))</f>
        <v/>
      </c>
      <c r="F20">
        <f>IF(OR(B20="",NOT(ISNUMBER(D20))),"",IF(D20&lt;E20,"JA",""))</f>
        <v/>
      </c>
    </row>
    <row r="21">
      <c r="A21">
        <f>IFERROR(INDEX(tblStellplatz[Stellplatz],ROW()-1),"")</f>
        <v/>
      </c>
      <c r="B21">
        <f>IFERROR(INDEX(tblStellplatz[SAP],ROW()-1),"")</f>
        <v/>
      </c>
      <c r="C21">
        <f>IF(B21="","",IFERROR(INDEX(tblMaterial[Bezeichnung],MATCH(B21,tblMaterial[SAP],0)),"?"))</f>
        <v/>
      </c>
      <c r="D21">
        <f>IF(B21="","",IFERROR(INDEX(tblMaterial[Lagerstand],MATCH(B21,tblMaterial[SAP],0)),"?"))</f>
        <v/>
      </c>
      <c r="E21">
        <f>IF(B21="","",IFERROR(INDEX(tblMaterial[Meldebestand],MATCH(B21,tblMaterial[SAP],0)),"?"))</f>
        <v/>
      </c>
      <c r="F21">
        <f>IF(OR(B21="",NOT(ISNUMBER(D21))),"",IF(D21&lt;E21,"JA",""))</f>
        <v/>
      </c>
    </row>
    <row r="22">
      <c r="A22">
        <f>IFERROR(INDEX(tblStellplatz[Stellplatz],ROW()-1),"")</f>
        <v/>
      </c>
      <c r="B22">
        <f>IFERROR(INDEX(tblStellplatz[SAP],ROW()-1),"")</f>
        <v/>
      </c>
      <c r="C22">
        <f>IF(B22="","",IFERROR(INDEX(tblMaterial[Bezeichnung],MATCH(B22,tblMaterial[SAP],0)),"?"))</f>
        <v/>
      </c>
      <c r="D22">
        <f>IF(B22="","",IFERROR(INDEX(tblMaterial[Lagerstand],MATCH(B22,tblMaterial[SAP],0)),"?"))</f>
        <v/>
      </c>
      <c r="E22">
        <f>IF(B22="","",IFERROR(INDEX(tblMaterial[Meldebestand],MATCH(B22,tblMaterial[SAP],0)),"?"))</f>
        <v/>
      </c>
      <c r="F22">
        <f>IF(OR(B22="",NOT(ISNUMBER(D22))),"",IF(D22&lt;E22,"JA",""))</f>
        <v/>
      </c>
    </row>
    <row r="23">
      <c r="A23">
        <f>IFERROR(INDEX(tblStellplatz[Stellplatz],ROW()-1),"")</f>
        <v/>
      </c>
      <c r="B23">
        <f>IFERROR(INDEX(tblStellplatz[SAP],ROW()-1),"")</f>
        <v/>
      </c>
      <c r="C23">
        <f>IF(B23="","",IFERROR(INDEX(tblMaterial[Bezeichnung],MATCH(B23,tblMaterial[SAP],0)),"?"))</f>
        <v/>
      </c>
      <c r="D23">
        <f>IF(B23="","",IFERROR(INDEX(tblMaterial[Lagerstand],MATCH(B23,tblMaterial[SAP],0)),"?"))</f>
        <v/>
      </c>
      <c r="E23">
        <f>IF(B23="","",IFERROR(INDEX(tblMaterial[Meldebestand],MATCH(B23,tblMaterial[SAP],0)),"?"))</f>
        <v/>
      </c>
      <c r="F23">
        <f>IF(OR(B23="",NOT(ISNUMBER(D23))),"",IF(D23&lt;E23,"JA",""))</f>
        <v/>
      </c>
    </row>
    <row r="24">
      <c r="A24">
        <f>IFERROR(INDEX(tblStellplatz[Stellplatz],ROW()-1),"")</f>
        <v/>
      </c>
      <c r="B24">
        <f>IFERROR(INDEX(tblStellplatz[SAP],ROW()-1),"")</f>
        <v/>
      </c>
      <c r="C24">
        <f>IF(B24="","",IFERROR(INDEX(tblMaterial[Bezeichnung],MATCH(B24,tblMaterial[SAP],0)),"?"))</f>
        <v/>
      </c>
      <c r="D24">
        <f>IF(B24="","",IFERROR(INDEX(tblMaterial[Lagerstand],MATCH(B24,tblMaterial[SAP],0)),"?"))</f>
        <v/>
      </c>
      <c r="E24">
        <f>IF(B24="","",IFERROR(INDEX(tblMaterial[Meldebestand],MATCH(B24,tblMaterial[SAP],0)),"?"))</f>
        <v/>
      </c>
      <c r="F24">
        <f>IF(OR(B24="",NOT(ISNUMBER(D24))),"",IF(D24&lt;E24,"JA",""))</f>
        <v/>
      </c>
    </row>
    <row r="25">
      <c r="A25">
        <f>IFERROR(INDEX(tblStellplatz[Stellplatz],ROW()-1),"")</f>
        <v/>
      </c>
      <c r="B25">
        <f>IFERROR(INDEX(tblStellplatz[SAP],ROW()-1),"")</f>
        <v/>
      </c>
      <c r="C25">
        <f>IF(B25="","",IFERROR(INDEX(tblMaterial[Bezeichnung],MATCH(B25,tblMaterial[SAP],0)),"?"))</f>
        <v/>
      </c>
      <c r="D25">
        <f>IF(B25="","",IFERROR(INDEX(tblMaterial[Lagerstand],MATCH(B25,tblMaterial[SAP],0)),"?"))</f>
        <v/>
      </c>
      <c r="E25">
        <f>IF(B25="","",IFERROR(INDEX(tblMaterial[Meldebestand],MATCH(B25,tblMaterial[SAP],0)),"?"))</f>
        <v/>
      </c>
      <c r="F25">
        <f>IF(OR(B25="",NOT(ISNUMBER(D25))),"",IF(D25&lt;E25,"JA",""))</f>
        <v/>
      </c>
    </row>
    <row r="26">
      <c r="A26">
        <f>IFERROR(INDEX(tblStellplatz[Stellplatz],ROW()-1),"")</f>
        <v/>
      </c>
      <c r="B26">
        <f>IFERROR(INDEX(tblStellplatz[SAP],ROW()-1),"")</f>
        <v/>
      </c>
      <c r="C26">
        <f>IF(B26="","",IFERROR(INDEX(tblMaterial[Bezeichnung],MATCH(B26,tblMaterial[SAP],0)),"?"))</f>
        <v/>
      </c>
      <c r="D26">
        <f>IF(B26="","",IFERROR(INDEX(tblMaterial[Lagerstand],MATCH(B26,tblMaterial[SAP],0)),"?"))</f>
        <v/>
      </c>
      <c r="E26">
        <f>IF(B26="","",IFERROR(INDEX(tblMaterial[Meldebestand],MATCH(B26,tblMaterial[SAP],0)),"?"))</f>
        <v/>
      </c>
      <c r="F26">
        <f>IF(OR(B26="",NOT(ISNUMBER(D26))),"",IF(D26&lt;E26,"JA",""))</f>
        <v/>
      </c>
    </row>
    <row r="27">
      <c r="A27">
        <f>IFERROR(INDEX(tblStellplatz[Stellplatz],ROW()-1),"")</f>
        <v/>
      </c>
      <c r="B27">
        <f>IFERROR(INDEX(tblStellplatz[SAP],ROW()-1),"")</f>
        <v/>
      </c>
      <c r="C27">
        <f>IF(B27="","",IFERROR(INDEX(tblMaterial[Bezeichnung],MATCH(B27,tblMaterial[SAP],0)),"?"))</f>
        <v/>
      </c>
      <c r="D27">
        <f>IF(B27="","",IFERROR(INDEX(tblMaterial[Lagerstand],MATCH(B27,tblMaterial[SAP],0)),"?"))</f>
        <v/>
      </c>
      <c r="E27">
        <f>IF(B27="","",IFERROR(INDEX(tblMaterial[Meldebestand],MATCH(B27,tblMaterial[SAP],0)),"?"))</f>
        <v/>
      </c>
      <c r="F27">
        <f>IF(OR(B27="",NOT(ISNUMBER(D27))),"",IF(D27&lt;E27,"JA",""))</f>
        <v/>
      </c>
    </row>
    <row r="28">
      <c r="A28">
        <f>IFERROR(INDEX(tblStellplatz[Stellplatz],ROW()-1),"")</f>
        <v/>
      </c>
      <c r="B28">
        <f>IFERROR(INDEX(tblStellplatz[SAP],ROW()-1),"")</f>
        <v/>
      </c>
      <c r="C28">
        <f>IF(B28="","",IFERROR(INDEX(tblMaterial[Bezeichnung],MATCH(B28,tblMaterial[SAP],0)),"?"))</f>
        <v/>
      </c>
      <c r="D28">
        <f>IF(B28="","",IFERROR(INDEX(tblMaterial[Lagerstand],MATCH(B28,tblMaterial[SAP],0)),"?"))</f>
        <v/>
      </c>
      <c r="E28">
        <f>IF(B28="","",IFERROR(INDEX(tblMaterial[Meldebestand],MATCH(B28,tblMaterial[SAP],0)),"?"))</f>
        <v/>
      </c>
      <c r="F28">
        <f>IF(OR(B28="",NOT(ISNUMBER(D28))),"",IF(D28&lt;E28,"JA",""))</f>
        <v/>
      </c>
    </row>
    <row r="29">
      <c r="A29">
        <f>IFERROR(INDEX(tblStellplatz[Stellplatz],ROW()-1),"")</f>
        <v/>
      </c>
      <c r="B29">
        <f>IFERROR(INDEX(tblStellplatz[SAP],ROW()-1),"")</f>
        <v/>
      </c>
      <c r="C29">
        <f>IF(B29="","",IFERROR(INDEX(tblMaterial[Bezeichnung],MATCH(B29,tblMaterial[SAP],0)),"?"))</f>
        <v/>
      </c>
      <c r="D29">
        <f>IF(B29="","",IFERROR(INDEX(tblMaterial[Lagerstand],MATCH(B29,tblMaterial[SAP],0)),"?"))</f>
        <v/>
      </c>
      <c r="E29">
        <f>IF(B29="","",IFERROR(INDEX(tblMaterial[Meldebestand],MATCH(B29,tblMaterial[SAP],0)),"?"))</f>
        <v/>
      </c>
      <c r="F29">
        <f>IF(OR(B29="",NOT(ISNUMBER(D29))),"",IF(D29&lt;E29,"JA",""))</f>
        <v/>
      </c>
    </row>
    <row r="30">
      <c r="A30">
        <f>IFERROR(INDEX(tblStellplatz[Stellplatz],ROW()-1),"")</f>
        <v/>
      </c>
      <c r="B30">
        <f>IFERROR(INDEX(tblStellplatz[SAP],ROW()-1),"")</f>
        <v/>
      </c>
      <c r="C30">
        <f>IF(B30="","",IFERROR(INDEX(tblMaterial[Bezeichnung],MATCH(B30,tblMaterial[SAP],0)),"?"))</f>
        <v/>
      </c>
      <c r="D30">
        <f>IF(B30="","",IFERROR(INDEX(tblMaterial[Lagerstand],MATCH(B30,tblMaterial[SAP],0)),"?"))</f>
        <v/>
      </c>
      <c r="E30">
        <f>IF(B30="","",IFERROR(INDEX(tblMaterial[Meldebestand],MATCH(B30,tblMaterial[SAP],0)),"?"))</f>
        <v/>
      </c>
      <c r="F30">
        <f>IF(OR(B30="",NOT(ISNUMBER(D30))),"",IF(D30&lt;E30,"JA",""))</f>
        <v/>
      </c>
    </row>
    <row r="31">
      <c r="A31">
        <f>IFERROR(INDEX(tblStellplatz[Stellplatz],ROW()-1),"")</f>
        <v/>
      </c>
      <c r="B31">
        <f>IFERROR(INDEX(tblStellplatz[SAP],ROW()-1),"")</f>
        <v/>
      </c>
      <c r="C31">
        <f>IF(B31="","",IFERROR(INDEX(tblMaterial[Bezeichnung],MATCH(B31,tblMaterial[SAP],0)),"?"))</f>
        <v/>
      </c>
      <c r="D31">
        <f>IF(B31="","",IFERROR(INDEX(tblMaterial[Lagerstand],MATCH(B31,tblMaterial[SAP],0)),"?"))</f>
        <v/>
      </c>
      <c r="E31">
        <f>IF(B31="","",IFERROR(INDEX(tblMaterial[Meldebestand],MATCH(B31,tblMaterial[SAP],0)),"?"))</f>
        <v/>
      </c>
      <c r="F31">
        <f>IF(OR(B31="",NOT(ISNUMBER(D31))),"",IF(D31&lt;E31,"JA",""))</f>
        <v/>
      </c>
    </row>
    <row r="32">
      <c r="A32">
        <f>IFERROR(INDEX(tblStellplatz[Stellplatz],ROW()-1),"")</f>
        <v/>
      </c>
      <c r="B32">
        <f>IFERROR(INDEX(tblStellplatz[SAP],ROW()-1),"")</f>
        <v/>
      </c>
      <c r="C32">
        <f>IF(B32="","",IFERROR(INDEX(tblMaterial[Bezeichnung],MATCH(B32,tblMaterial[SAP],0)),"?"))</f>
        <v/>
      </c>
      <c r="D32">
        <f>IF(B32="","",IFERROR(INDEX(tblMaterial[Lagerstand],MATCH(B32,tblMaterial[SAP],0)),"?"))</f>
        <v/>
      </c>
      <c r="E32">
        <f>IF(B32="","",IFERROR(INDEX(tblMaterial[Meldebestand],MATCH(B32,tblMaterial[SAP],0)),"?"))</f>
        <v/>
      </c>
      <c r="F32">
        <f>IF(OR(B32="",NOT(ISNUMBER(D32))),"",IF(D32&lt;E32,"JA",""))</f>
        <v/>
      </c>
    </row>
    <row r="33">
      <c r="A33">
        <f>IFERROR(INDEX(tblStellplatz[Stellplatz],ROW()-1),"")</f>
        <v/>
      </c>
      <c r="B33">
        <f>IFERROR(INDEX(tblStellplatz[SAP],ROW()-1),"")</f>
        <v/>
      </c>
      <c r="C33">
        <f>IF(B33="","",IFERROR(INDEX(tblMaterial[Bezeichnung],MATCH(B33,tblMaterial[SAP],0)),"?"))</f>
        <v/>
      </c>
      <c r="D33">
        <f>IF(B33="","",IFERROR(INDEX(tblMaterial[Lagerstand],MATCH(B33,tblMaterial[SAP],0)),"?"))</f>
        <v/>
      </c>
      <c r="E33">
        <f>IF(B33="","",IFERROR(INDEX(tblMaterial[Meldebestand],MATCH(B33,tblMaterial[SAP],0)),"?"))</f>
        <v/>
      </c>
      <c r="F33">
        <f>IF(OR(B33="",NOT(ISNUMBER(D33))),"",IF(D33&lt;E33,"JA",""))</f>
        <v/>
      </c>
    </row>
    <row r="34">
      <c r="A34">
        <f>IFERROR(INDEX(tblStellplatz[Stellplatz],ROW()-1),"")</f>
        <v/>
      </c>
      <c r="B34">
        <f>IFERROR(INDEX(tblStellplatz[SAP],ROW()-1),"")</f>
        <v/>
      </c>
      <c r="C34">
        <f>IF(B34="","",IFERROR(INDEX(tblMaterial[Bezeichnung],MATCH(B34,tblMaterial[SAP],0)),"?"))</f>
        <v/>
      </c>
      <c r="D34">
        <f>IF(B34="","",IFERROR(INDEX(tblMaterial[Lagerstand],MATCH(B34,tblMaterial[SAP],0)),"?"))</f>
        <v/>
      </c>
      <c r="E34">
        <f>IF(B34="","",IFERROR(INDEX(tblMaterial[Meldebestand],MATCH(B34,tblMaterial[SAP],0)),"?"))</f>
        <v/>
      </c>
      <c r="F34">
        <f>IF(OR(B34="",NOT(ISNUMBER(D34))),"",IF(D34&lt;E34,"JA",""))</f>
        <v/>
      </c>
    </row>
    <row r="35">
      <c r="A35">
        <f>IFERROR(INDEX(tblStellplatz[Stellplatz],ROW()-1),"")</f>
        <v/>
      </c>
      <c r="B35">
        <f>IFERROR(INDEX(tblStellplatz[SAP],ROW()-1),"")</f>
        <v/>
      </c>
      <c r="C35">
        <f>IF(B35="","",IFERROR(INDEX(tblMaterial[Bezeichnung],MATCH(B35,tblMaterial[SAP],0)),"?"))</f>
        <v/>
      </c>
      <c r="D35">
        <f>IF(B35="","",IFERROR(INDEX(tblMaterial[Lagerstand],MATCH(B35,tblMaterial[SAP],0)),"?"))</f>
        <v/>
      </c>
      <c r="E35">
        <f>IF(B35="","",IFERROR(INDEX(tblMaterial[Meldebestand],MATCH(B35,tblMaterial[SAP],0)),"?"))</f>
        <v/>
      </c>
      <c r="F35">
        <f>IF(OR(B35="",NOT(ISNUMBER(D35))),"",IF(D35&lt;E35,"JA",""))</f>
        <v/>
      </c>
    </row>
    <row r="36">
      <c r="A36">
        <f>IFERROR(INDEX(tblStellplatz[Stellplatz],ROW()-1),"")</f>
        <v/>
      </c>
      <c r="B36">
        <f>IFERROR(INDEX(tblStellplatz[SAP],ROW()-1),"")</f>
        <v/>
      </c>
      <c r="C36">
        <f>IF(B36="","",IFERROR(INDEX(tblMaterial[Bezeichnung],MATCH(B36,tblMaterial[SAP],0)),"?"))</f>
        <v/>
      </c>
      <c r="D36">
        <f>IF(B36="","",IFERROR(INDEX(tblMaterial[Lagerstand],MATCH(B36,tblMaterial[SAP],0)),"?"))</f>
        <v/>
      </c>
      <c r="E36">
        <f>IF(B36="","",IFERROR(INDEX(tblMaterial[Meldebestand],MATCH(B36,tblMaterial[SAP],0)),"?"))</f>
        <v/>
      </c>
      <c r="F36">
        <f>IF(OR(B36="",NOT(ISNUMBER(D36))),"",IF(D36&lt;E36,"JA",""))</f>
        <v/>
      </c>
    </row>
    <row r="37">
      <c r="A37">
        <f>IFERROR(INDEX(tblStellplatz[Stellplatz],ROW()-1),"")</f>
        <v/>
      </c>
      <c r="B37">
        <f>IFERROR(INDEX(tblStellplatz[SAP],ROW()-1),"")</f>
        <v/>
      </c>
      <c r="C37">
        <f>IF(B37="","",IFERROR(INDEX(tblMaterial[Bezeichnung],MATCH(B37,tblMaterial[SAP],0)),"?"))</f>
        <v/>
      </c>
      <c r="D37">
        <f>IF(B37="","",IFERROR(INDEX(tblMaterial[Lagerstand],MATCH(B37,tblMaterial[SAP],0)),"?"))</f>
        <v/>
      </c>
      <c r="E37">
        <f>IF(B37="","",IFERROR(INDEX(tblMaterial[Meldebestand],MATCH(B37,tblMaterial[SAP],0)),"?"))</f>
        <v/>
      </c>
      <c r="F37">
        <f>IF(OR(B37="",NOT(ISNUMBER(D37))),"",IF(D37&lt;E37,"JA",""))</f>
        <v/>
      </c>
    </row>
    <row r="38">
      <c r="A38">
        <f>IFERROR(INDEX(tblStellplatz[Stellplatz],ROW()-1),"")</f>
        <v/>
      </c>
      <c r="B38">
        <f>IFERROR(INDEX(tblStellplatz[SAP],ROW()-1),"")</f>
        <v/>
      </c>
      <c r="C38">
        <f>IF(B38="","",IFERROR(INDEX(tblMaterial[Bezeichnung],MATCH(B38,tblMaterial[SAP],0)),"?"))</f>
        <v/>
      </c>
      <c r="D38">
        <f>IF(B38="","",IFERROR(INDEX(tblMaterial[Lagerstand],MATCH(B38,tblMaterial[SAP],0)),"?"))</f>
        <v/>
      </c>
      <c r="E38">
        <f>IF(B38="","",IFERROR(INDEX(tblMaterial[Meldebestand],MATCH(B38,tblMaterial[SAP],0)),"?"))</f>
        <v/>
      </c>
      <c r="F38">
        <f>IF(OR(B38="",NOT(ISNUMBER(D38))),"",IF(D38&lt;E38,"JA",""))</f>
        <v/>
      </c>
    </row>
    <row r="39">
      <c r="A39">
        <f>IFERROR(INDEX(tblStellplatz[Stellplatz],ROW()-1),"")</f>
        <v/>
      </c>
      <c r="B39">
        <f>IFERROR(INDEX(tblStellplatz[SAP],ROW()-1),"")</f>
        <v/>
      </c>
      <c r="C39">
        <f>IF(B39="","",IFERROR(INDEX(tblMaterial[Bezeichnung],MATCH(B39,tblMaterial[SAP],0)),"?"))</f>
        <v/>
      </c>
      <c r="D39">
        <f>IF(B39="","",IFERROR(INDEX(tblMaterial[Lagerstand],MATCH(B39,tblMaterial[SAP],0)),"?"))</f>
        <v/>
      </c>
      <c r="E39">
        <f>IF(B39="","",IFERROR(INDEX(tblMaterial[Meldebestand],MATCH(B39,tblMaterial[SAP],0)),"?"))</f>
        <v/>
      </c>
      <c r="F39">
        <f>IF(OR(B39="",NOT(ISNUMBER(D39))),"",IF(D39&lt;E39,"JA",""))</f>
        <v/>
      </c>
    </row>
    <row r="40">
      <c r="A40">
        <f>IFERROR(INDEX(tblStellplatz[Stellplatz],ROW()-1),"")</f>
        <v/>
      </c>
      <c r="B40">
        <f>IFERROR(INDEX(tblStellplatz[SAP],ROW()-1),"")</f>
        <v/>
      </c>
      <c r="C40">
        <f>IF(B40="","",IFERROR(INDEX(tblMaterial[Bezeichnung],MATCH(B40,tblMaterial[SAP],0)),"?"))</f>
        <v/>
      </c>
      <c r="D40">
        <f>IF(B40="","",IFERROR(INDEX(tblMaterial[Lagerstand],MATCH(B40,tblMaterial[SAP],0)),"?"))</f>
        <v/>
      </c>
      <c r="E40">
        <f>IF(B40="","",IFERROR(INDEX(tblMaterial[Meldebestand],MATCH(B40,tblMaterial[SAP],0)),"?"))</f>
        <v/>
      </c>
      <c r="F40">
        <f>IF(OR(B40="",NOT(ISNUMBER(D40))),"",IF(D40&lt;E40,"JA",""))</f>
        <v/>
      </c>
    </row>
    <row r="41">
      <c r="A41">
        <f>IFERROR(INDEX(tblStellplatz[Stellplatz],ROW()-1),"")</f>
        <v/>
      </c>
      <c r="B41">
        <f>IFERROR(INDEX(tblStellplatz[SAP],ROW()-1),"")</f>
        <v/>
      </c>
      <c r="C41">
        <f>IF(B41="","",IFERROR(INDEX(tblMaterial[Bezeichnung],MATCH(B41,tblMaterial[SAP],0)),"?"))</f>
        <v/>
      </c>
      <c r="D41">
        <f>IF(B41="","",IFERROR(INDEX(tblMaterial[Lagerstand],MATCH(B41,tblMaterial[SAP],0)),"?"))</f>
        <v/>
      </c>
      <c r="E41">
        <f>IF(B41="","",IFERROR(INDEX(tblMaterial[Meldebestand],MATCH(B41,tblMaterial[SAP],0)),"?"))</f>
        <v/>
      </c>
      <c r="F41">
        <f>IF(OR(B41="",NOT(ISNUMBER(D41))),"",IF(D41&lt;E41,"JA",""))</f>
        <v/>
      </c>
    </row>
    <row r="42">
      <c r="A42">
        <f>IFERROR(INDEX(tblStellplatz[Stellplatz],ROW()-1),"")</f>
        <v/>
      </c>
      <c r="B42">
        <f>IFERROR(INDEX(tblStellplatz[SAP],ROW()-1),"")</f>
        <v/>
      </c>
      <c r="C42">
        <f>IF(B42="","",IFERROR(INDEX(tblMaterial[Bezeichnung],MATCH(B42,tblMaterial[SAP],0)),"?"))</f>
        <v/>
      </c>
      <c r="D42">
        <f>IF(B42="","",IFERROR(INDEX(tblMaterial[Lagerstand],MATCH(B42,tblMaterial[SAP],0)),"?"))</f>
        <v/>
      </c>
      <c r="E42">
        <f>IF(B42="","",IFERROR(INDEX(tblMaterial[Meldebestand],MATCH(B42,tblMaterial[SAP],0)),"?"))</f>
        <v/>
      </c>
      <c r="F42">
        <f>IF(OR(B42="",NOT(ISNUMBER(D42))),"",IF(D42&lt;E42,"JA",""))</f>
        <v/>
      </c>
    </row>
    <row r="43">
      <c r="A43">
        <f>IFERROR(INDEX(tblStellplatz[Stellplatz],ROW()-1),"")</f>
        <v/>
      </c>
      <c r="B43">
        <f>IFERROR(INDEX(tblStellplatz[SAP],ROW()-1),"")</f>
        <v/>
      </c>
      <c r="C43">
        <f>IF(B43="","",IFERROR(INDEX(tblMaterial[Bezeichnung],MATCH(B43,tblMaterial[SAP],0)),"?"))</f>
        <v/>
      </c>
      <c r="D43">
        <f>IF(B43="","",IFERROR(INDEX(tblMaterial[Lagerstand],MATCH(B43,tblMaterial[SAP],0)),"?"))</f>
        <v/>
      </c>
      <c r="E43">
        <f>IF(B43="","",IFERROR(INDEX(tblMaterial[Meldebestand],MATCH(B43,tblMaterial[SAP],0)),"?"))</f>
        <v/>
      </c>
      <c r="F43">
        <f>IF(OR(B43="",NOT(ISNUMBER(D43))),"",IF(D43&lt;E43,"JA",""))</f>
        <v/>
      </c>
    </row>
    <row r="44">
      <c r="A44">
        <f>IFERROR(INDEX(tblStellplatz[Stellplatz],ROW()-1),"")</f>
        <v/>
      </c>
      <c r="B44">
        <f>IFERROR(INDEX(tblStellplatz[SAP],ROW()-1),"")</f>
        <v/>
      </c>
      <c r="C44">
        <f>IF(B44="","",IFERROR(INDEX(tblMaterial[Bezeichnung],MATCH(B44,tblMaterial[SAP],0)),"?"))</f>
        <v/>
      </c>
      <c r="D44">
        <f>IF(B44="","",IFERROR(INDEX(tblMaterial[Lagerstand],MATCH(B44,tblMaterial[SAP],0)),"?"))</f>
        <v/>
      </c>
      <c r="E44">
        <f>IF(B44="","",IFERROR(INDEX(tblMaterial[Meldebestand],MATCH(B44,tblMaterial[SAP],0)),"?"))</f>
        <v/>
      </c>
      <c r="F44">
        <f>IF(OR(B44="",NOT(ISNUMBER(D44))),"",IF(D44&lt;E44,"JA",""))</f>
        <v/>
      </c>
    </row>
    <row r="45">
      <c r="A45">
        <f>IFERROR(INDEX(tblStellplatz[Stellplatz],ROW()-1),"")</f>
        <v/>
      </c>
      <c r="B45">
        <f>IFERROR(INDEX(tblStellplatz[SAP],ROW()-1),"")</f>
        <v/>
      </c>
      <c r="C45">
        <f>IF(B45="","",IFERROR(INDEX(tblMaterial[Bezeichnung],MATCH(B45,tblMaterial[SAP],0)),"?"))</f>
        <v/>
      </c>
      <c r="D45">
        <f>IF(B45="","",IFERROR(INDEX(tblMaterial[Lagerstand],MATCH(B45,tblMaterial[SAP],0)),"?"))</f>
        <v/>
      </c>
      <c r="E45">
        <f>IF(B45="","",IFERROR(INDEX(tblMaterial[Meldebestand],MATCH(B45,tblMaterial[SAP],0)),"?"))</f>
        <v/>
      </c>
      <c r="F45">
        <f>IF(OR(B45="",NOT(ISNUMBER(D45))),"",IF(D45&lt;E45,"JA",""))</f>
        <v/>
      </c>
    </row>
    <row r="46">
      <c r="A46">
        <f>IFERROR(INDEX(tblStellplatz[Stellplatz],ROW()-1),"")</f>
        <v/>
      </c>
      <c r="B46">
        <f>IFERROR(INDEX(tblStellplatz[SAP],ROW()-1),"")</f>
        <v/>
      </c>
      <c r="C46">
        <f>IF(B46="","",IFERROR(INDEX(tblMaterial[Bezeichnung],MATCH(B46,tblMaterial[SAP],0)),"?"))</f>
        <v/>
      </c>
      <c r="D46">
        <f>IF(B46="","",IFERROR(INDEX(tblMaterial[Lagerstand],MATCH(B46,tblMaterial[SAP],0)),"?"))</f>
        <v/>
      </c>
      <c r="E46">
        <f>IF(B46="","",IFERROR(INDEX(tblMaterial[Meldebestand],MATCH(B46,tblMaterial[SAP],0)),"?"))</f>
        <v/>
      </c>
      <c r="F46">
        <f>IF(OR(B46="",NOT(ISNUMBER(D46))),"",IF(D46&lt;E46,"JA",""))</f>
        <v/>
      </c>
    </row>
    <row r="47">
      <c r="A47">
        <f>IFERROR(INDEX(tblStellplatz[Stellplatz],ROW()-1),"")</f>
        <v/>
      </c>
      <c r="B47">
        <f>IFERROR(INDEX(tblStellplatz[SAP],ROW()-1),"")</f>
        <v/>
      </c>
      <c r="C47">
        <f>IF(B47="","",IFERROR(INDEX(tblMaterial[Bezeichnung],MATCH(B47,tblMaterial[SAP],0)),"?"))</f>
        <v/>
      </c>
      <c r="D47">
        <f>IF(B47="","",IFERROR(INDEX(tblMaterial[Lagerstand],MATCH(B47,tblMaterial[SAP],0)),"?"))</f>
        <v/>
      </c>
      <c r="E47">
        <f>IF(B47="","",IFERROR(INDEX(tblMaterial[Meldebestand],MATCH(B47,tblMaterial[SAP],0)),"?"))</f>
        <v/>
      </c>
      <c r="F47">
        <f>IF(OR(B47="",NOT(ISNUMBER(D47))),"",IF(D47&lt;E47,"JA",""))</f>
        <v/>
      </c>
    </row>
    <row r="48">
      <c r="A48">
        <f>IFERROR(INDEX(tblStellplatz[Stellplatz],ROW()-1),"")</f>
        <v/>
      </c>
      <c r="B48">
        <f>IFERROR(INDEX(tblStellplatz[SAP],ROW()-1),"")</f>
        <v/>
      </c>
      <c r="C48">
        <f>IF(B48="","",IFERROR(INDEX(tblMaterial[Bezeichnung],MATCH(B48,tblMaterial[SAP],0)),"?"))</f>
        <v/>
      </c>
      <c r="D48">
        <f>IF(B48="","",IFERROR(INDEX(tblMaterial[Lagerstand],MATCH(B48,tblMaterial[SAP],0)),"?"))</f>
        <v/>
      </c>
      <c r="E48">
        <f>IF(B48="","",IFERROR(INDEX(tblMaterial[Meldebestand],MATCH(B48,tblMaterial[SAP],0)),"?"))</f>
        <v/>
      </c>
      <c r="F48">
        <f>IF(OR(B48="",NOT(ISNUMBER(D48))),"",IF(D48&lt;E48,"JA",""))</f>
        <v/>
      </c>
    </row>
    <row r="49">
      <c r="A49">
        <f>IFERROR(INDEX(tblStellplatz[Stellplatz],ROW()-1),"")</f>
        <v/>
      </c>
      <c r="B49">
        <f>IFERROR(INDEX(tblStellplatz[SAP],ROW()-1),"")</f>
        <v/>
      </c>
      <c r="C49">
        <f>IF(B49="","",IFERROR(INDEX(tblMaterial[Bezeichnung],MATCH(B49,tblMaterial[SAP],0)),"?"))</f>
        <v/>
      </c>
      <c r="D49">
        <f>IF(B49="","",IFERROR(INDEX(tblMaterial[Lagerstand],MATCH(B49,tblMaterial[SAP],0)),"?"))</f>
        <v/>
      </c>
      <c r="E49">
        <f>IF(B49="","",IFERROR(INDEX(tblMaterial[Meldebestand],MATCH(B49,tblMaterial[SAP],0)),"?"))</f>
        <v/>
      </c>
      <c r="F49">
        <f>IF(OR(B49="",NOT(ISNUMBER(D49))),"",IF(D49&lt;E49,"JA",""))</f>
        <v/>
      </c>
    </row>
    <row r="50">
      <c r="A50">
        <f>IFERROR(INDEX(tblStellplatz[Stellplatz],ROW()-1),"")</f>
        <v/>
      </c>
      <c r="B50">
        <f>IFERROR(INDEX(tblStellplatz[SAP],ROW()-1),"")</f>
        <v/>
      </c>
      <c r="C50">
        <f>IF(B50="","",IFERROR(INDEX(tblMaterial[Bezeichnung],MATCH(B50,tblMaterial[SAP],0)),"?"))</f>
        <v/>
      </c>
      <c r="D50">
        <f>IF(B50="","",IFERROR(INDEX(tblMaterial[Lagerstand],MATCH(B50,tblMaterial[SAP],0)),"?"))</f>
        <v/>
      </c>
      <c r="E50">
        <f>IF(B50="","",IFERROR(INDEX(tblMaterial[Meldebestand],MATCH(B50,tblMaterial[SAP],0)),"?"))</f>
        <v/>
      </c>
      <c r="F50">
        <f>IF(OR(B50="",NOT(ISNUMBER(D50))),"",IF(D50&lt;E50,"JA",""))</f>
        <v/>
      </c>
    </row>
    <row r="51">
      <c r="A51">
        <f>IFERROR(INDEX(tblStellplatz[Stellplatz],ROW()-1),"")</f>
        <v/>
      </c>
      <c r="B51">
        <f>IFERROR(INDEX(tblStellplatz[SAP],ROW()-1),"")</f>
        <v/>
      </c>
      <c r="C51">
        <f>IF(B51="","",IFERROR(INDEX(tblMaterial[Bezeichnung],MATCH(B51,tblMaterial[SAP],0)),"?"))</f>
        <v/>
      </c>
      <c r="D51">
        <f>IF(B51="","",IFERROR(INDEX(tblMaterial[Lagerstand],MATCH(B51,tblMaterial[SAP],0)),"?"))</f>
        <v/>
      </c>
      <c r="E51">
        <f>IF(B51="","",IFERROR(INDEX(tblMaterial[Meldebestand],MATCH(B51,tblMaterial[SAP],0)),"?"))</f>
        <v/>
      </c>
      <c r="F51">
        <f>IF(OR(B51="",NOT(ISNUMBER(D51))),"",IF(D51&lt;E51,"JA",""))</f>
        <v/>
      </c>
    </row>
    <row r="52">
      <c r="A52">
        <f>IFERROR(INDEX(tblStellplatz[Stellplatz],ROW()-1),"")</f>
        <v/>
      </c>
      <c r="B52">
        <f>IFERROR(INDEX(tblStellplatz[SAP],ROW()-1),"")</f>
        <v/>
      </c>
      <c r="C52">
        <f>IF(B52="","",IFERROR(INDEX(tblMaterial[Bezeichnung],MATCH(B52,tblMaterial[SAP],0)),"?"))</f>
        <v/>
      </c>
      <c r="D52">
        <f>IF(B52="","",IFERROR(INDEX(tblMaterial[Lagerstand],MATCH(B52,tblMaterial[SAP],0)),"?"))</f>
        <v/>
      </c>
      <c r="E52">
        <f>IF(B52="","",IFERROR(INDEX(tblMaterial[Meldebestand],MATCH(B52,tblMaterial[SAP],0)),"?"))</f>
        <v/>
      </c>
      <c r="F52">
        <f>IF(OR(B52="",NOT(ISNUMBER(D52))),"",IF(D52&lt;E52,"JA",""))</f>
        <v/>
      </c>
    </row>
    <row r="53">
      <c r="A53">
        <f>IFERROR(INDEX(tblStellplatz[Stellplatz],ROW()-1),"")</f>
        <v/>
      </c>
      <c r="B53">
        <f>IFERROR(INDEX(tblStellplatz[SAP],ROW()-1),"")</f>
        <v/>
      </c>
      <c r="C53">
        <f>IF(B53="","",IFERROR(INDEX(tblMaterial[Bezeichnung],MATCH(B53,tblMaterial[SAP],0)),"?"))</f>
        <v/>
      </c>
      <c r="D53">
        <f>IF(B53="","",IFERROR(INDEX(tblMaterial[Lagerstand],MATCH(B53,tblMaterial[SAP],0)),"?"))</f>
        <v/>
      </c>
      <c r="E53">
        <f>IF(B53="","",IFERROR(INDEX(tblMaterial[Meldebestand],MATCH(B53,tblMaterial[SAP],0)),"?"))</f>
        <v/>
      </c>
      <c r="F53">
        <f>IF(OR(B53="",NOT(ISNUMBER(D53))),"",IF(D53&lt;E53,"JA",""))</f>
        <v/>
      </c>
    </row>
    <row r="54">
      <c r="A54">
        <f>IFERROR(INDEX(tblStellplatz[Stellplatz],ROW()-1),"")</f>
        <v/>
      </c>
      <c r="B54">
        <f>IFERROR(INDEX(tblStellplatz[SAP],ROW()-1),"")</f>
        <v/>
      </c>
      <c r="C54">
        <f>IF(B54="","",IFERROR(INDEX(tblMaterial[Bezeichnung],MATCH(B54,tblMaterial[SAP],0)),"?"))</f>
        <v/>
      </c>
      <c r="D54">
        <f>IF(B54="","",IFERROR(INDEX(tblMaterial[Lagerstand],MATCH(B54,tblMaterial[SAP],0)),"?"))</f>
        <v/>
      </c>
      <c r="E54">
        <f>IF(B54="","",IFERROR(INDEX(tblMaterial[Meldebestand],MATCH(B54,tblMaterial[SAP],0)),"?"))</f>
        <v/>
      </c>
      <c r="F54">
        <f>IF(OR(B54="",NOT(ISNUMBER(D54))),"",IF(D54&lt;E54,"JA",""))</f>
        <v/>
      </c>
    </row>
    <row r="55">
      <c r="A55">
        <f>IFERROR(INDEX(tblStellplatz[Stellplatz],ROW()-1),"")</f>
        <v/>
      </c>
      <c r="B55">
        <f>IFERROR(INDEX(tblStellplatz[SAP],ROW()-1),"")</f>
        <v/>
      </c>
      <c r="C55">
        <f>IF(B55="","",IFERROR(INDEX(tblMaterial[Bezeichnung],MATCH(B55,tblMaterial[SAP],0)),"?"))</f>
        <v/>
      </c>
      <c r="D55">
        <f>IF(B55="","",IFERROR(INDEX(tblMaterial[Lagerstand],MATCH(B55,tblMaterial[SAP],0)),"?"))</f>
        <v/>
      </c>
      <c r="E55">
        <f>IF(B55="","",IFERROR(INDEX(tblMaterial[Meldebestand],MATCH(B55,tblMaterial[SAP],0)),"?"))</f>
        <v/>
      </c>
      <c r="F55">
        <f>IF(OR(B55="",NOT(ISNUMBER(D55))),"",IF(D55&lt;E55,"JA",""))</f>
        <v/>
      </c>
    </row>
    <row r="56">
      <c r="A56">
        <f>IFERROR(INDEX(tblStellplatz[Stellplatz],ROW()-1),"")</f>
        <v/>
      </c>
      <c r="B56">
        <f>IFERROR(INDEX(tblStellplatz[SAP],ROW()-1),"")</f>
        <v/>
      </c>
      <c r="C56">
        <f>IF(B56="","",IFERROR(INDEX(tblMaterial[Bezeichnung],MATCH(B56,tblMaterial[SAP],0)),"?"))</f>
        <v/>
      </c>
      <c r="D56">
        <f>IF(B56="","",IFERROR(INDEX(tblMaterial[Lagerstand],MATCH(B56,tblMaterial[SAP],0)),"?"))</f>
        <v/>
      </c>
      <c r="E56">
        <f>IF(B56="","",IFERROR(INDEX(tblMaterial[Meldebestand],MATCH(B56,tblMaterial[SAP],0)),"?"))</f>
        <v/>
      </c>
      <c r="F56">
        <f>IF(OR(B56="",NOT(ISNUMBER(D56))),"",IF(D56&lt;E56,"JA",""))</f>
        <v/>
      </c>
    </row>
    <row r="57">
      <c r="A57">
        <f>IFERROR(INDEX(tblStellplatz[Stellplatz],ROW()-1),"")</f>
        <v/>
      </c>
      <c r="B57">
        <f>IFERROR(INDEX(tblStellplatz[SAP],ROW()-1),"")</f>
        <v/>
      </c>
      <c r="C57">
        <f>IF(B57="","",IFERROR(INDEX(tblMaterial[Bezeichnung],MATCH(B57,tblMaterial[SAP],0)),"?"))</f>
        <v/>
      </c>
      <c r="D57">
        <f>IF(B57="","",IFERROR(INDEX(tblMaterial[Lagerstand],MATCH(B57,tblMaterial[SAP],0)),"?"))</f>
        <v/>
      </c>
      <c r="E57">
        <f>IF(B57="","",IFERROR(INDEX(tblMaterial[Meldebestand],MATCH(B57,tblMaterial[SAP],0)),"?"))</f>
        <v/>
      </c>
      <c r="F57">
        <f>IF(OR(B57="",NOT(ISNUMBER(D57))),"",IF(D57&lt;E57,"JA",""))</f>
        <v/>
      </c>
    </row>
    <row r="58">
      <c r="A58">
        <f>IFERROR(INDEX(tblStellplatz[Stellplatz],ROW()-1),"")</f>
        <v/>
      </c>
      <c r="B58">
        <f>IFERROR(INDEX(tblStellplatz[SAP],ROW()-1),"")</f>
        <v/>
      </c>
      <c r="C58">
        <f>IF(B58="","",IFERROR(INDEX(tblMaterial[Bezeichnung],MATCH(B58,tblMaterial[SAP],0)),"?"))</f>
        <v/>
      </c>
      <c r="D58">
        <f>IF(B58="","",IFERROR(INDEX(tblMaterial[Lagerstand],MATCH(B58,tblMaterial[SAP],0)),"?"))</f>
        <v/>
      </c>
      <c r="E58">
        <f>IF(B58="","",IFERROR(INDEX(tblMaterial[Meldebestand],MATCH(B58,tblMaterial[SAP],0)),"?"))</f>
        <v/>
      </c>
      <c r="F58">
        <f>IF(OR(B58="",NOT(ISNUMBER(D58))),"",IF(D58&lt;E58,"JA",""))</f>
        <v/>
      </c>
    </row>
    <row r="59">
      <c r="A59">
        <f>IFERROR(INDEX(tblStellplatz[Stellplatz],ROW()-1),"")</f>
        <v/>
      </c>
      <c r="B59">
        <f>IFERROR(INDEX(tblStellplatz[SAP],ROW()-1),"")</f>
        <v/>
      </c>
      <c r="C59">
        <f>IF(B59="","",IFERROR(INDEX(tblMaterial[Bezeichnung],MATCH(B59,tblMaterial[SAP],0)),"?"))</f>
        <v/>
      </c>
      <c r="D59">
        <f>IF(B59="","",IFERROR(INDEX(tblMaterial[Lagerstand],MATCH(B59,tblMaterial[SAP],0)),"?"))</f>
        <v/>
      </c>
      <c r="E59">
        <f>IF(B59="","",IFERROR(INDEX(tblMaterial[Meldebestand],MATCH(B59,tblMaterial[SAP],0)),"?"))</f>
        <v/>
      </c>
      <c r="F59">
        <f>IF(OR(B59="",NOT(ISNUMBER(D59))),"",IF(D59&lt;E59,"JA",""))</f>
        <v/>
      </c>
    </row>
    <row r="60">
      <c r="A60">
        <f>IFERROR(INDEX(tblStellplatz[Stellplatz],ROW()-1),"")</f>
        <v/>
      </c>
      <c r="B60">
        <f>IFERROR(INDEX(tblStellplatz[SAP],ROW()-1),"")</f>
        <v/>
      </c>
      <c r="C60">
        <f>IF(B60="","",IFERROR(INDEX(tblMaterial[Bezeichnung],MATCH(B60,tblMaterial[SAP],0)),"?"))</f>
        <v/>
      </c>
      <c r="D60">
        <f>IF(B60="","",IFERROR(INDEX(tblMaterial[Lagerstand],MATCH(B60,tblMaterial[SAP],0)),"?"))</f>
        <v/>
      </c>
      <c r="E60">
        <f>IF(B60="","",IFERROR(INDEX(tblMaterial[Meldebestand],MATCH(B60,tblMaterial[SAP],0)),"?"))</f>
        <v/>
      </c>
      <c r="F60">
        <f>IF(OR(B60="",NOT(ISNUMBER(D60))),"",IF(D60&lt;E60,"JA",""))</f>
        <v/>
      </c>
    </row>
    <row r="61">
      <c r="A61">
        <f>IFERROR(INDEX(tblStellplatz[Stellplatz],ROW()-1),"")</f>
        <v/>
      </c>
      <c r="B61">
        <f>IFERROR(INDEX(tblStellplatz[SAP],ROW()-1),"")</f>
        <v/>
      </c>
      <c r="C61">
        <f>IF(B61="","",IFERROR(INDEX(tblMaterial[Bezeichnung],MATCH(B61,tblMaterial[SAP],0)),"?"))</f>
        <v/>
      </c>
      <c r="D61">
        <f>IF(B61="","",IFERROR(INDEX(tblMaterial[Lagerstand],MATCH(B61,tblMaterial[SAP],0)),"?"))</f>
        <v/>
      </c>
      <c r="E61">
        <f>IF(B61="","",IFERROR(INDEX(tblMaterial[Meldebestand],MATCH(B61,tblMaterial[SAP],0)),"?"))</f>
        <v/>
      </c>
      <c r="F61">
        <f>IF(OR(B61="",NOT(ISNUMBER(D61))),"",IF(D61&lt;E61,"JA",""))</f>
        <v/>
      </c>
    </row>
    <row r="62">
      <c r="A62">
        <f>IFERROR(INDEX(tblStellplatz[Stellplatz],ROW()-1),"")</f>
        <v/>
      </c>
      <c r="B62">
        <f>IFERROR(INDEX(tblStellplatz[SAP],ROW()-1),"")</f>
        <v/>
      </c>
      <c r="C62">
        <f>IF(B62="","",IFERROR(INDEX(tblMaterial[Bezeichnung],MATCH(B62,tblMaterial[SAP],0)),"?"))</f>
        <v/>
      </c>
      <c r="D62">
        <f>IF(B62="","",IFERROR(INDEX(tblMaterial[Lagerstand],MATCH(B62,tblMaterial[SAP],0)),"?"))</f>
        <v/>
      </c>
      <c r="E62">
        <f>IF(B62="","",IFERROR(INDEX(tblMaterial[Meldebestand],MATCH(B62,tblMaterial[SAP],0)),"?"))</f>
        <v/>
      </c>
      <c r="F62">
        <f>IF(OR(B62="",NOT(ISNUMBER(D62))),"",IF(D62&lt;E62,"JA",""))</f>
        <v/>
      </c>
    </row>
    <row r="63">
      <c r="A63">
        <f>IFERROR(INDEX(tblStellplatz[Stellplatz],ROW()-1),"")</f>
        <v/>
      </c>
      <c r="B63">
        <f>IFERROR(INDEX(tblStellplatz[SAP],ROW()-1),"")</f>
        <v/>
      </c>
      <c r="C63">
        <f>IF(B63="","",IFERROR(INDEX(tblMaterial[Bezeichnung],MATCH(B63,tblMaterial[SAP],0)),"?"))</f>
        <v/>
      </c>
      <c r="D63">
        <f>IF(B63="","",IFERROR(INDEX(tblMaterial[Lagerstand],MATCH(B63,tblMaterial[SAP],0)),"?"))</f>
        <v/>
      </c>
      <c r="E63">
        <f>IF(B63="","",IFERROR(INDEX(tblMaterial[Meldebestand],MATCH(B63,tblMaterial[SAP],0)),"?"))</f>
        <v/>
      </c>
      <c r="F63">
        <f>IF(OR(B63="",NOT(ISNUMBER(D63))),"",IF(D63&lt;E63,"JA",""))</f>
        <v/>
      </c>
    </row>
    <row r="64">
      <c r="A64">
        <f>IFERROR(INDEX(tblStellplatz[Stellplatz],ROW()-1),"")</f>
        <v/>
      </c>
      <c r="B64">
        <f>IFERROR(INDEX(tblStellplatz[SAP],ROW()-1),"")</f>
        <v/>
      </c>
      <c r="C64">
        <f>IF(B64="","",IFERROR(INDEX(tblMaterial[Bezeichnung],MATCH(B64,tblMaterial[SAP],0)),"?"))</f>
        <v/>
      </c>
      <c r="D64">
        <f>IF(B64="","",IFERROR(INDEX(tblMaterial[Lagerstand],MATCH(B64,tblMaterial[SAP],0)),"?"))</f>
        <v/>
      </c>
      <c r="E64">
        <f>IF(B64="","",IFERROR(INDEX(tblMaterial[Meldebestand],MATCH(B64,tblMaterial[SAP],0)),"?"))</f>
        <v/>
      </c>
      <c r="F64">
        <f>IF(OR(B64="",NOT(ISNUMBER(D64))),"",IF(D64&lt;E64,"JA",""))</f>
        <v/>
      </c>
    </row>
    <row r="65">
      <c r="A65">
        <f>IFERROR(INDEX(tblStellplatz[Stellplatz],ROW()-1),"")</f>
        <v/>
      </c>
      <c r="B65">
        <f>IFERROR(INDEX(tblStellplatz[SAP],ROW()-1),"")</f>
        <v/>
      </c>
      <c r="C65">
        <f>IF(B65="","",IFERROR(INDEX(tblMaterial[Bezeichnung],MATCH(B65,tblMaterial[SAP],0)),"?"))</f>
        <v/>
      </c>
      <c r="D65">
        <f>IF(B65="","",IFERROR(INDEX(tblMaterial[Lagerstand],MATCH(B65,tblMaterial[SAP],0)),"?"))</f>
        <v/>
      </c>
      <c r="E65">
        <f>IF(B65="","",IFERROR(INDEX(tblMaterial[Meldebestand],MATCH(B65,tblMaterial[SAP],0)),"?"))</f>
        <v/>
      </c>
      <c r="F65">
        <f>IF(OR(B65="",NOT(ISNUMBER(D65))),"",IF(D65&lt;E65,"JA",""))</f>
        <v/>
      </c>
    </row>
    <row r="66">
      <c r="A66">
        <f>IFERROR(INDEX(tblStellplatz[Stellplatz],ROW()-1),"")</f>
        <v/>
      </c>
      <c r="B66">
        <f>IFERROR(INDEX(tblStellplatz[SAP],ROW()-1),"")</f>
        <v/>
      </c>
      <c r="C66">
        <f>IF(B66="","",IFERROR(INDEX(tblMaterial[Bezeichnung],MATCH(B66,tblMaterial[SAP],0)),"?"))</f>
        <v/>
      </c>
      <c r="D66">
        <f>IF(B66="","",IFERROR(INDEX(tblMaterial[Lagerstand],MATCH(B66,tblMaterial[SAP],0)),"?"))</f>
        <v/>
      </c>
      <c r="E66">
        <f>IF(B66="","",IFERROR(INDEX(tblMaterial[Meldebestand],MATCH(B66,tblMaterial[SAP],0)),"?"))</f>
        <v/>
      </c>
      <c r="F66">
        <f>IF(OR(B66="",NOT(ISNUMBER(D66))),"",IF(D66&lt;E66,"JA",""))</f>
        <v/>
      </c>
    </row>
    <row r="67">
      <c r="A67">
        <f>IFERROR(INDEX(tblStellplatz[Stellplatz],ROW()-1),"")</f>
        <v/>
      </c>
      <c r="B67">
        <f>IFERROR(INDEX(tblStellplatz[SAP],ROW()-1),"")</f>
        <v/>
      </c>
      <c r="C67">
        <f>IF(B67="","",IFERROR(INDEX(tblMaterial[Bezeichnung],MATCH(B67,tblMaterial[SAP],0)),"?"))</f>
        <v/>
      </c>
      <c r="D67">
        <f>IF(B67="","",IFERROR(INDEX(tblMaterial[Lagerstand],MATCH(B67,tblMaterial[SAP],0)),"?"))</f>
        <v/>
      </c>
      <c r="E67">
        <f>IF(B67="","",IFERROR(INDEX(tblMaterial[Meldebestand],MATCH(B67,tblMaterial[SAP],0)),"?"))</f>
        <v/>
      </c>
      <c r="F67">
        <f>IF(OR(B67="",NOT(ISNUMBER(D67))),"",IF(D67&lt;E67,"JA",""))</f>
        <v/>
      </c>
    </row>
    <row r="68">
      <c r="A68">
        <f>IFERROR(INDEX(tblStellplatz[Stellplatz],ROW()-1),"")</f>
        <v/>
      </c>
      <c r="B68">
        <f>IFERROR(INDEX(tblStellplatz[SAP],ROW()-1),"")</f>
        <v/>
      </c>
      <c r="C68">
        <f>IF(B68="","",IFERROR(INDEX(tblMaterial[Bezeichnung],MATCH(B68,tblMaterial[SAP],0)),"?"))</f>
        <v/>
      </c>
      <c r="D68">
        <f>IF(B68="","",IFERROR(INDEX(tblMaterial[Lagerstand],MATCH(B68,tblMaterial[SAP],0)),"?"))</f>
        <v/>
      </c>
      <c r="E68">
        <f>IF(B68="","",IFERROR(INDEX(tblMaterial[Meldebestand],MATCH(B68,tblMaterial[SAP],0)),"?"))</f>
        <v/>
      </c>
      <c r="F68">
        <f>IF(OR(B68="",NOT(ISNUMBER(D68))),"",IF(D68&lt;E68,"JA",""))</f>
        <v/>
      </c>
    </row>
    <row r="69">
      <c r="A69">
        <f>IFERROR(INDEX(tblStellplatz[Stellplatz],ROW()-1),"")</f>
        <v/>
      </c>
      <c r="B69">
        <f>IFERROR(INDEX(tblStellplatz[SAP],ROW()-1),"")</f>
        <v/>
      </c>
      <c r="C69">
        <f>IF(B69="","",IFERROR(INDEX(tblMaterial[Bezeichnung],MATCH(B69,tblMaterial[SAP],0)),"?"))</f>
        <v/>
      </c>
      <c r="D69">
        <f>IF(B69="","",IFERROR(INDEX(tblMaterial[Lagerstand],MATCH(B69,tblMaterial[SAP],0)),"?"))</f>
        <v/>
      </c>
      <c r="E69">
        <f>IF(B69="","",IFERROR(INDEX(tblMaterial[Meldebestand],MATCH(B69,tblMaterial[SAP],0)),"?"))</f>
        <v/>
      </c>
      <c r="F69">
        <f>IF(OR(B69="",NOT(ISNUMBER(D69))),"",IF(D69&lt;E69,"JA",""))</f>
        <v/>
      </c>
    </row>
    <row r="70">
      <c r="A70">
        <f>IFERROR(INDEX(tblStellplatz[Stellplatz],ROW()-1),"")</f>
        <v/>
      </c>
      <c r="B70">
        <f>IFERROR(INDEX(tblStellplatz[SAP],ROW()-1),"")</f>
        <v/>
      </c>
      <c r="C70">
        <f>IF(B70="","",IFERROR(INDEX(tblMaterial[Bezeichnung],MATCH(B70,tblMaterial[SAP],0)),"?"))</f>
        <v/>
      </c>
      <c r="D70">
        <f>IF(B70="","",IFERROR(INDEX(tblMaterial[Lagerstand],MATCH(B70,tblMaterial[SAP],0)),"?"))</f>
        <v/>
      </c>
      <c r="E70">
        <f>IF(B70="","",IFERROR(INDEX(tblMaterial[Meldebestand],MATCH(B70,tblMaterial[SAP],0)),"?"))</f>
        <v/>
      </c>
      <c r="F70">
        <f>IF(OR(B70="",NOT(ISNUMBER(D70))),"",IF(D70&lt;E70,"JA",""))</f>
        <v/>
      </c>
    </row>
    <row r="71">
      <c r="A71">
        <f>IFERROR(INDEX(tblStellplatz[Stellplatz],ROW()-1),"")</f>
        <v/>
      </c>
      <c r="B71">
        <f>IFERROR(INDEX(tblStellplatz[SAP],ROW()-1),"")</f>
        <v/>
      </c>
      <c r="C71">
        <f>IF(B71="","",IFERROR(INDEX(tblMaterial[Bezeichnung],MATCH(B71,tblMaterial[SAP],0)),"?"))</f>
        <v/>
      </c>
      <c r="D71">
        <f>IF(B71="","",IFERROR(INDEX(tblMaterial[Lagerstand],MATCH(B71,tblMaterial[SAP],0)),"?"))</f>
        <v/>
      </c>
      <c r="E71">
        <f>IF(B71="","",IFERROR(INDEX(tblMaterial[Meldebestand],MATCH(B71,tblMaterial[SAP],0)),"?"))</f>
        <v/>
      </c>
      <c r="F71">
        <f>IF(OR(B71="",NOT(ISNUMBER(D71))),"",IF(D71&lt;E71,"JA",""))</f>
        <v/>
      </c>
    </row>
    <row r="72">
      <c r="A72">
        <f>IFERROR(INDEX(tblStellplatz[Stellplatz],ROW()-1),"")</f>
        <v/>
      </c>
      <c r="B72">
        <f>IFERROR(INDEX(tblStellplatz[SAP],ROW()-1),"")</f>
        <v/>
      </c>
      <c r="C72">
        <f>IF(B72="","",IFERROR(INDEX(tblMaterial[Bezeichnung],MATCH(B72,tblMaterial[SAP],0)),"?"))</f>
        <v/>
      </c>
      <c r="D72">
        <f>IF(B72="","",IFERROR(INDEX(tblMaterial[Lagerstand],MATCH(B72,tblMaterial[SAP],0)),"?"))</f>
        <v/>
      </c>
      <c r="E72">
        <f>IF(B72="","",IFERROR(INDEX(tblMaterial[Meldebestand],MATCH(B72,tblMaterial[SAP],0)),"?"))</f>
        <v/>
      </c>
      <c r="F72">
        <f>IF(OR(B72="",NOT(ISNUMBER(D72))),"",IF(D72&lt;E72,"JA",""))</f>
        <v/>
      </c>
    </row>
    <row r="73">
      <c r="A73">
        <f>IFERROR(INDEX(tblStellplatz[Stellplatz],ROW()-1),"")</f>
        <v/>
      </c>
      <c r="B73">
        <f>IFERROR(INDEX(tblStellplatz[SAP],ROW()-1),"")</f>
        <v/>
      </c>
      <c r="C73">
        <f>IF(B73="","",IFERROR(INDEX(tblMaterial[Bezeichnung],MATCH(B73,tblMaterial[SAP],0)),"?"))</f>
        <v/>
      </c>
      <c r="D73">
        <f>IF(B73="","",IFERROR(INDEX(tblMaterial[Lagerstand],MATCH(B73,tblMaterial[SAP],0)),"?"))</f>
        <v/>
      </c>
      <c r="E73">
        <f>IF(B73="","",IFERROR(INDEX(tblMaterial[Meldebestand],MATCH(B73,tblMaterial[SAP],0)),"?"))</f>
        <v/>
      </c>
      <c r="F73">
        <f>IF(OR(B73="",NOT(ISNUMBER(D73))),"",IF(D73&lt;E73,"JA",""))</f>
        <v/>
      </c>
    </row>
    <row r="74">
      <c r="A74">
        <f>IFERROR(INDEX(tblStellplatz[Stellplatz],ROW()-1),"")</f>
        <v/>
      </c>
      <c r="B74">
        <f>IFERROR(INDEX(tblStellplatz[SAP],ROW()-1),"")</f>
        <v/>
      </c>
      <c r="C74">
        <f>IF(B74="","",IFERROR(INDEX(tblMaterial[Bezeichnung],MATCH(B74,tblMaterial[SAP],0)),"?"))</f>
        <v/>
      </c>
      <c r="D74">
        <f>IF(B74="","",IFERROR(INDEX(tblMaterial[Lagerstand],MATCH(B74,tblMaterial[SAP],0)),"?"))</f>
        <v/>
      </c>
      <c r="E74">
        <f>IF(B74="","",IFERROR(INDEX(tblMaterial[Meldebestand],MATCH(B74,tblMaterial[SAP],0)),"?"))</f>
        <v/>
      </c>
      <c r="F74">
        <f>IF(OR(B74="",NOT(ISNUMBER(D74))),"",IF(D74&lt;E74,"JA",""))</f>
        <v/>
      </c>
    </row>
    <row r="75">
      <c r="A75">
        <f>IFERROR(INDEX(tblStellplatz[Stellplatz],ROW()-1),"")</f>
        <v/>
      </c>
      <c r="B75">
        <f>IFERROR(INDEX(tblStellplatz[SAP],ROW()-1),"")</f>
        <v/>
      </c>
      <c r="C75">
        <f>IF(B75="","",IFERROR(INDEX(tblMaterial[Bezeichnung],MATCH(B75,tblMaterial[SAP],0)),"?"))</f>
        <v/>
      </c>
      <c r="D75">
        <f>IF(B75="","",IFERROR(INDEX(tblMaterial[Lagerstand],MATCH(B75,tblMaterial[SAP],0)),"?"))</f>
        <v/>
      </c>
      <c r="E75">
        <f>IF(B75="","",IFERROR(INDEX(tblMaterial[Meldebestand],MATCH(B75,tblMaterial[SAP],0)),"?"))</f>
        <v/>
      </c>
      <c r="F75">
        <f>IF(OR(B75="",NOT(ISNUMBER(D75))),"",IF(D75&lt;E75,"JA",""))</f>
        <v/>
      </c>
    </row>
    <row r="76">
      <c r="A76">
        <f>IFERROR(INDEX(tblStellplatz[Stellplatz],ROW()-1),"")</f>
        <v/>
      </c>
      <c r="B76">
        <f>IFERROR(INDEX(tblStellplatz[SAP],ROW()-1),"")</f>
        <v/>
      </c>
      <c r="C76">
        <f>IF(B76="","",IFERROR(INDEX(tblMaterial[Bezeichnung],MATCH(B76,tblMaterial[SAP],0)),"?"))</f>
        <v/>
      </c>
      <c r="D76">
        <f>IF(B76="","",IFERROR(INDEX(tblMaterial[Lagerstand],MATCH(B76,tblMaterial[SAP],0)),"?"))</f>
        <v/>
      </c>
      <c r="E76">
        <f>IF(B76="","",IFERROR(INDEX(tblMaterial[Meldebestand],MATCH(B76,tblMaterial[SAP],0)),"?"))</f>
        <v/>
      </c>
      <c r="F76">
        <f>IF(OR(B76="",NOT(ISNUMBER(D76))),"",IF(D76&lt;E76,"JA",""))</f>
        <v/>
      </c>
    </row>
    <row r="77">
      <c r="A77">
        <f>IFERROR(INDEX(tblStellplatz[Stellplatz],ROW()-1),"")</f>
        <v/>
      </c>
      <c r="B77">
        <f>IFERROR(INDEX(tblStellplatz[SAP],ROW()-1),"")</f>
        <v/>
      </c>
      <c r="C77">
        <f>IF(B77="","",IFERROR(INDEX(tblMaterial[Bezeichnung],MATCH(B77,tblMaterial[SAP],0)),"?"))</f>
        <v/>
      </c>
      <c r="D77">
        <f>IF(B77="","",IFERROR(INDEX(tblMaterial[Lagerstand],MATCH(B77,tblMaterial[SAP],0)),"?"))</f>
        <v/>
      </c>
      <c r="E77">
        <f>IF(B77="","",IFERROR(INDEX(tblMaterial[Meldebestand],MATCH(B77,tblMaterial[SAP],0)),"?"))</f>
        <v/>
      </c>
      <c r="F77">
        <f>IF(OR(B77="",NOT(ISNUMBER(D77))),"",IF(D77&lt;E77,"JA",""))</f>
        <v/>
      </c>
    </row>
    <row r="78">
      <c r="A78">
        <f>IFERROR(INDEX(tblStellplatz[Stellplatz],ROW()-1),"")</f>
        <v/>
      </c>
      <c r="B78">
        <f>IFERROR(INDEX(tblStellplatz[SAP],ROW()-1),"")</f>
        <v/>
      </c>
      <c r="C78">
        <f>IF(B78="","",IFERROR(INDEX(tblMaterial[Bezeichnung],MATCH(B78,tblMaterial[SAP],0)),"?"))</f>
        <v/>
      </c>
      <c r="D78">
        <f>IF(B78="","",IFERROR(INDEX(tblMaterial[Lagerstand],MATCH(B78,tblMaterial[SAP],0)),"?"))</f>
        <v/>
      </c>
      <c r="E78">
        <f>IF(B78="","",IFERROR(INDEX(tblMaterial[Meldebestand],MATCH(B78,tblMaterial[SAP],0)),"?"))</f>
        <v/>
      </c>
      <c r="F78">
        <f>IF(OR(B78="",NOT(ISNUMBER(D78))),"",IF(D78&lt;E78,"JA",""))</f>
        <v/>
      </c>
    </row>
    <row r="79">
      <c r="A79">
        <f>IFERROR(INDEX(tblStellplatz[Stellplatz],ROW()-1),"")</f>
        <v/>
      </c>
      <c r="B79">
        <f>IFERROR(INDEX(tblStellplatz[SAP],ROW()-1),"")</f>
        <v/>
      </c>
      <c r="C79">
        <f>IF(B79="","",IFERROR(INDEX(tblMaterial[Bezeichnung],MATCH(B79,tblMaterial[SAP],0)),"?"))</f>
        <v/>
      </c>
      <c r="D79">
        <f>IF(B79="","",IFERROR(INDEX(tblMaterial[Lagerstand],MATCH(B79,tblMaterial[SAP],0)),"?"))</f>
        <v/>
      </c>
      <c r="E79">
        <f>IF(B79="","",IFERROR(INDEX(tblMaterial[Meldebestand],MATCH(B79,tblMaterial[SAP],0)),"?"))</f>
        <v/>
      </c>
      <c r="F79">
        <f>IF(OR(B79="",NOT(ISNUMBER(D79))),"",IF(D79&lt;E79,"JA",""))</f>
        <v/>
      </c>
    </row>
    <row r="80">
      <c r="A80">
        <f>IFERROR(INDEX(tblStellplatz[Stellplatz],ROW()-1),"")</f>
        <v/>
      </c>
      <c r="B80">
        <f>IFERROR(INDEX(tblStellplatz[SAP],ROW()-1),"")</f>
        <v/>
      </c>
      <c r="C80">
        <f>IF(B80="","",IFERROR(INDEX(tblMaterial[Bezeichnung],MATCH(B80,tblMaterial[SAP],0)),"?"))</f>
        <v/>
      </c>
      <c r="D80">
        <f>IF(B80="","",IFERROR(INDEX(tblMaterial[Lagerstand],MATCH(B80,tblMaterial[SAP],0)),"?"))</f>
        <v/>
      </c>
      <c r="E80">
        <f>IF(B80="","",IFERROR(INDEX(tblMaterial[Meldebestand],MATCH(B80,tblMaterial[SAP],0)),"?"))</f>
        <v/>
      </c>
      <c r="F80">
        <f>IF(OR(B80="",NOT(ISNUMBER(D80))),"",IF(D80&lt;E80,"JA",""))</f>
        <v/>
      </c>
    </row>
    <row r="81">
      <c r="A81">
        <f>IFERROR(INDEX(tblStellplatz[Stellplatz],ROW()-1),"")</f>
        <v/>
      </c>
      <c r="B81">
        <f>IFERROR(INDEX(tblStellplatz[SAP],ROW()-1),"")</f>
        <v/>
      </c>
      <c r="C81">
        <f>IF(B81="","",IFERROR(INDEX(tblMaterial[Bezeichnung],MATCH(B81,tblMaterial[SAP],0)),"?"))</f>
        <v/>
      </c>
      <c r="D81">
        <f>IF(B81="","",IFERROR(INDEX(tblMaterial[Lagerstand],MATCH(B81,tblMaterial[SAP],0)),"?"))</f>
        <v/>
      </c>
      <c r="E81">
        <f>IF(B81="","",IFERROR(INDEX(tblMaterial[Meldebestand],MATCH(B81,tblMaterial[SAP],0)),"?"))</f>
        <v/>
      </c>
      <c r="F81">
        <f>IF(OR(B81="",NOT(ISNUMBER(D81))),"",IF(D81&lt;E81,"JA",""))</f>
        <v/>
      </c>
    </row>
    <row r="82">
      <c r="A82">
        <f>IFERROR(INDEX(tblStellplatz[Stellplatz],ROW()-1),"")</f>
        <v/>
      </c>
      <c r="B82">
        <f>IFERROR(INDEX(tblStellplatz[SAP],ROW()-1),"")</f>
        <v/>
      </c>
      <c r="C82">
        <f>IF(B82="","",IFERROR(INDEX(tblMaterial[Bezeichnung],MATCH(B82,tblMaterial[SAP],0)),"?"))</f>
        <v/>
      </c>
      <c r="D82">
        <f>IF(B82="","",IFERROR(INDEX(tblMaterial[Lagerstand],MATCH(B82,tblMaterial[SAP],0)),"?"))</f>
        <v/>
      </c>
      <c r="E82">
        <f>IF(B82="","",IFERROR(INDEX(tblMaterial[Meldebestand],MATCH(B82,tblMaterial[SAP],0)),"?"))</f>
        <v/>
      </c>
      <c r="F82">
        <f>IF(OR(B82="",NOT(ISNUMBER(D82))),"",IF(D82&lt;E82,"JA",""))</f>
        <v/>
      </c>
    </row>
    <row r="83">
      <c r="A83">
        <f>IFERROR(INDEX(tblStellplatz[Stellplatz],ROW()-1),"")</f>
        <v/>
      </c>
      <c r="B83">
        <f>IFERROR(INDEX(tblStellplatz[SAP],ROW()-1),"")</f>
        <v/>
      </c>
      <c r="C83">
        <f>IF(B83="","",IFERROR(INDEX(tblMaterial[Bezeichnung],MATCH(B83,tblMaterial[SAP],0)),"?"))</f>
        <v/>
      </c>
      <c r="D83">
        <f>IF(B83="","",IFERROR(INDEX(tblMaterial[Lagerstand],MATCH(B83,tblMaterial[SAP],0)),"?"))</f>
        <v/>
      </c>
      <c r="E83">
        <f>IF(B83="","",IFERROR(INDEX(tblMaterial[Meldebestand],MATCH(B83,tblMaterial[SAP],0)),"?"))</f>
        <v/>
      </c>
      <c r="F83">
        <f>IF(OR(B83="",NOT(ISNUMBER(D83))),"",IF(D83&lt;E83,"JA",""))</f>
        <v/>
      </c>
    </row>
    <row r="84">
      <c r="A84">
        <f>IFERROR(INDEX(tblStellplatz[Stellplatz],ROW()-1),"")</f>
        <v/>
      </c>
      <c r="B84">
        <f>IFERROR(INDEX(tblStellplatz[SAP],ROW()-1),"")</f>
        <v/>
      </c>
      <c r="C84">
        <f>IF(B84="","",IFERROR(INDEX(tblMaterial[Bezeichnung],MATCH(B84,tblMaterial[SAP],0)),"?"))</f>
        <v/>
      </c>
      <c r="D84">
        <f>IF(B84="","",IFERROR(INDEX(tblMaterial[Lagerstand],MATCH(B84,tblMaterial[SAP],0)),"?"))</f>
        <v/>
      </c>
      <c r="E84">
        <f>IF(B84="","",IFERROR(INDEX(tblMaterial[Meldebestand],MATCH(B84,tblMaterial[SAP],0)),"?"))</f>
        <v/>
      </c>
      <c r="F84">
        <f>IF(OR(B84="",NOT(ISNUMBER(D84))),"",IF(D84&lt;E84,"JA",""))</f>
        <v/>
      </c>
    </row>
    <row r="85">
      <c r="A85">
        <f>IFERROR(INDEX(tblStellplatz[Stellplatz],ROW()-1),"")</f>
        <v/>
      </c>
      <c r="B85">
        <f>IFERROR(INDEX(tblStellplatz[SAP],ROW()-1),"")</f>
        <v/>
      </c>
      <c r="C85">
        <f>IF(B85="","",IFERROR(INDEX(tblMaterial[Bezeichnung],MATCH(B85,tblMaterial[SAP],0)),"?"))</f>
        <v/>
      </c>
      <c r="D85">
        <f>IF(B85="","",IFERROR(INDEX(tblMaterial[Lagerstand],MATCH(B85,tblMaterial[SAP],0)),"?"))</f>
        <v/>
      </c>
      <c r="E85">
        <f>IF(B85="","",IFERROR(INDEX(tblMaterial[Meldebestand],MATCH(B85,tblMaterial[SAP],0)),"?"))</f>
        <v/>
      </c>
      <c r="F85">
        <f>IF(OR(B85="",NOT(ISNUMBER(D85))),"",IF(D85&lt;E85,"JA",""))</f>
        <v/>
      </c>
    </row>
    <row r="86">
      <c r="A86">
        <f>IFERROR(INDEX(tblStellplatz[Stellplatz],ROW()-1),"")</f>
        <v/>
      </c>
      <c r="B86">
        <f>IFERROR(INDEX(tblStellplatz[SAP],ROW()-1),"")</f>
        <v/>
      </c>
      <c r="C86">
        <f>IF(B86="","",IFERROR(INDEX(tblMaterial[Bezeichnung],MATCH(B86,tblMaterial[SAP],0)),"?"))</f>
        <v/>
      </c>
      <c r="D86">
        <f>IF(B86="","",IFERROR(INDEX(tblMaterial[Lagerstand],MATCH(B86,tblMaterial[SAP],0)),"?"))</f>
        <v/>
      </c>
      <c r="E86">
        <f>IF(B86="","",IFERROR(INDEX(tblMaterial[Meldebestand],MATCH(B86,tblMaterial[SAP],0)),"?"))</f>
        <v/>
      </c>
      <c r="F86">
        <f>IF(OR(B86="",NOT(ISNUMBER(D86))),"",IF(D86&lt;E86,"JA",""))</f>
        <v/>
      </c>
    </row>
    <row r="87">
      <c r="A87">
        <f>IFERROR(INDEX(tblStellplatz[Stellplatz],ROW()-1),"")</f>
        <v/>
      </c>
      <c r="B87">
        <f>IFERROR(INDEX(tblStellplatz[SAP],ROW()-1),"")</f>
        <v/>
      </c>
      <c r="C87">
        <f>IF(B87="","",IFERROR(INDEX(tblMaterial[Bezeichnung],MATCH(B87,tblMaterial[SAP],0)),"?"))</f>
        <v/>
      </c>
      <c r="D87">
        <f>IF(B87="","",IFERROR(INDEX(tblMaterial[Lagerstand],MATCH(B87,tblMaterial[SAP],0)),"?"))</f>
        <v/>
      </c>
      <c r="E87">
        <f>IF(B87="","",IFERROR(INDEX(tblMaterial[Meldebestand],MATCH(B87,tblMaterial[SAP],0)),"?"))</f>
        <v/>
      </c>
      <c r="F87">
        <f>IF(OR(B87="",NOT(ISNUMBER(D87))),"",IF(D87&lt;E87,"JA",""))</f>
        <v/>
      </c>
    </row>
    <row r="88">
      <c r="A88">
        <f>IFERROR(INDEX(tblStellplatz[Stellplatz],ROW()-1),"")</f>
        <v/>
      </c>
      <c r="B88">
        <f>IFERROR(INDEX(tblStellplatz[SAP],ROW()-1),"")</f>
        <v/>
      </c>
      <c r="C88">
        <f>IF(B88="","",IFERROR(INDEX(tblMaterial[Bezeichnung],MATCH(B88,tblMaterial[SAP],0)),"?"))</f>
        <v/>
      </c>
      <c r="D88">
        <f>IF(B88="","",IFERROR(INDEX(tblMaterial[Lagerstand],MATCH(B88,tblMaterial[SAP],0)),"?"))</f>
        <v/>
      </c>
      <c r="E88">
        <f>IF(B88="","",IFERROR(INDEX(tblMaterial[Meldebestand],MATCH(B88,tblMaterial[SAP],0)),"?"))</f>
        <v/>
      </c>
      <c r="F88">
        <f>IF(OR(B88="",NOT(ISNUMBER(D88))),"",IF(D88&lt;E88,"JA",""))</f>
        <v/>
      </c>
    </row>
    <row r="89">
      <c r="A89">
        <f>IFERROR(INDEX(tblStellplatz[Stellplatz],ROW()-1),"")</f>
        <v/>
      </c>
      <c r="B89">
        <f>IFERROR(INDEX(tblStellplatz[SAP],ROW()-1),"")</f>
        <v/>
      </c>
      <c r="C89">
        <f>IF(B89="","",IFERROR(INDEX(tblMaterial[Bezeichnung],MATCH(B89,tblMaterial[SAP],0)),"?"))</f>
        <v/>
      </c>
      <c r="D89">
        <f>IF(B89="","",IFERROR(INDEX(tblMaterial[Lagerstand],MATCH(B89,tblMaterial[SAP],0)),"?"))</f>
        <v/>
      </c>
      <c r="E89">
        <f>IF(B89="","",IFERROR(INDEX(tblMaterial[Meldebestand],MATCH(B89,tblMaterial[SAP],0)),"?"))</f>
        <v/>
      </c>
      <c r="F89">
        <f>IF(OR(B89="",NOT(ISNUMBER(D89))),"",IF(D89&lt;E89,"JA",""))</f>
        <v/>
      </c>
    </row>
    <row r="90">
      <c r="A90">
        <f>IFERROR(INDEX(tblStellplatz[Stellplatz],ROW()-1),"")</f>
        <v/>
      </c>
      <c r="B90">
        <f>IFERROR(INDEX(tblStellplatz[SAP],ROW()-1),"")</f>
        <v/>
      </c>
      <c r="C90">
        <f>IF(B90="","",IFERROR(INDEX(tblMaterial[Bezeichnung],MATCH(B90,tblMaterial[SAP],0)),"?"))</f>
        <v/>
      </c>
      <c r="D90">
        <f>IF(B90="","",IFERROR(INDEX(tblMaterial[Lagerstand],MATCH(B90,tblMaterial[SAP],0)),"?"))</f>
        <v/>
      </c>
      <c r="E90">
        <f>IF(B90="","",IFERROR(INDEX(tblMaterial[Meldebestand],MATCH(B90,tblMaterial[SAP],0)),"?"))</f>
        <v/>
      </c>
      <c r="F90">
        <f>IF(OR(B90="",NOT(ISNUMBER(D90))),"",IF(D90&lt;E90,"JA",""))</f>
        <v/>
      </c>
    </row>
    <row r="91">
      <c r="A91">
        <f>IFERROR(INDEX(tblStellplatz[Stellplatz],ROW()-1),"")</f>
        <v/>
      </c>
      <c r="B91">
        <f>IFERROR(INDEX(tblStellplatz[SAP],ROW()-1),"")</f>
        <v/>
      </c>
      <c r="C91">
        <f>IF(B91="","",IFERROR(INDEX(tblMaterial[Bezeichnung],MATCH(B91,tblMaterial[SAP],0)),"?"))</f>
        <v/>
      </c>
      <c r="D91">
        <f>IF(B91="","",IFERROR(INDEX(tblMaterial[Lagerstand],MATCH(B91,tblMaterial[SAP],0)),"?"))</f>
        <v/>
      </c>
      <c r="E91">
        <f>IF(B91="","",IFERROR(INDEX(tblMaterial[Meldebestand],MATCH(B91,tblMaterial[SAP],0)),"?"))</f>
        <v/>
      </c>
      <c r="F91">
        <f>IF(OR(B91="",NOT(ISNUMBER(D91))),"",IF(D91&lt;E91,"JA",""))</f>
        <v/>
      </c>
    </row>
    <row r="92">
      <c r="A92">
        <f>IFERROR(INDEX(tblStellplatz[Stellplatz],ROW()-1),"")</f>
        <v/>
      </c>
      <c r="B92">
        <f>IFERROR(INDEX(tblStellplatz[SAP],ROW()-1),"")</f>
        <v/>
      </c>
      <c r="C92">
        <f>IF(B92="","",IFERROR(INDEX(tblMaterial[Bezeichnung],MATCH(B92,tblMaterial[SAP],0)),"?"))</f>
        <v/>
      </c>
      <c r="D92">
        <f>IF(B92="","",IFERROR(INDEX(tblMaterial[Lagerstand],MATCH(B92,tblMaterial[SAP],0)),"?"))</f>
        <v/>
      </c>
      <c r="E92">
        <f>IF(B92="","",IFERROR(INDEX(tblMaterial[Meldebestand],MATCH(B92,tblMaterial[SAP],0)),"?"))</f>
        <v/>
      </c>
      <c r="F92">
        <f>IF(OR(B92="",NOT(ISNUMBER(D92))),"",IF(D92&lt;E92,"JA",""))</f>
        <v/>
      </c>
    </row>
    <row r="93">
      <c r="A93">
        <f>IFERROR(INDEX(tblStellplatz[Stellplatz],ROW()-1),"")</f>
        <v/>
      </c>
      <c r="B93">
        <f>IFERROR(INDEX(tblStellplatz[SAP],ROW()-1),"")</f>
        <v/>
      </c>
      <c r="C93">
        <f>IF(B93="","",IFERROR(INDEX(tblMaterial[Bezeichnung],MATCH(B93,tblMaterial[SAP],0)),"?"))</f>
        <v/>
      </c>
      <c r="D93">
        <f>IF(B93="","",IFERROR(INDEX(tblMaterial[Lagerstand],MATCH(B93,tblMaterial[SAP],0)),"?"))</f>
        <v/>
      </c>
      <c r="E93">
        <f>IF(B93="","",IFERROR(INDEX(tblMaterial[Meldebestand],MATCH(B93,tblMaterial[SAP],0)),"?"))</f>
        <v/>
      </c>
      <c r="F93">
        <f>IF(OR(B93="",NOT(ISNUMBER(D93))),"",IF(D93&lt;E93,"JA",""))</f>
        <v/>
      </c>
    </row>
    <row r="94">
      <c r="A94">
        <f>IFERROR(INDEX(tblStellplatz[Stellplatz],ROW()-1),"")</f>
        <v/>
      </c>
      <c r="B94">
        <f>IFERROR(INDEX(tblStellplatz[SAP],ROW()-1),"")</f>
        <v/>
      </c>
      <c r="C94">
        <f>IF(B94="","",IFERROR(INDEX(tblMaterial[Bezeichnung],MATCH(B94,tblMaterial[SAP],0)),"?"))</f>
        <v/>
      </c>
      <c r="D94">
        <f>IF(B94="","",IFERROR(INDEX(tblMaterial[Lagerstand],MATCH(B94,tblMaterial[SAP],0)),"?"))</f>
        <v/>
      </c>
      <c r="E94">
        <f>IF(B94="","",IFERROR(INDEX(tblMaterial[Meldebestand],MATCH(B94,tblMaterial[SAP],0)),"?"))</f>
        <v/>
      </c>
      <c r="F94">
        <f>IF(OR(B94="",NOT(ISNUMBER(D94))),"",IF(D94&lt;E94,"JA",""))</f>
        <v/>
      </c>
    </row>
    <row r="95">
      <c r="A95">
        <f>IFERROR(INDEX(tblStellplatz[Stellplatz],ROW()-1),"")</f>
        <v/>
      </c>
      <c r="B95">
        <f>IFERROR(INDEX(tblStellplatz[SAP],ROW()-1),"")</f>
        <v/>
      </c>
      <c r="C95">
        <f>IF(B95="","",IFERROR(INDEX(tblMaterial[Bezeichnung],MATCH(B95,tblMaterial[SAP],0)),"?"))</f>
        <v/>
      </c>
      <c r="D95">
        <f>IF(B95="","",IFERROR(INDEX(tblMaterial[Lagerstand],MATCH(B95,tblMaterial[SAP],0)),"?"))</f>
        <v/>
      </c>
      <c r="E95">
        <f>IF(B95="","",IFERROR(INDEX(tblMaterial[Meldebestand],MATCH(B95,tblMaterial[SAP],0)),"?"))</f>
        <v/>
      </c>
      <c r="F95">
        <f>IF(OR(B95="",NOT(ISNUMBER(D95))),"",IF(D95&lt;E95,"JA",""))</f>
        <v/>
      </c>
    </row>
    <row r="96">
      <c r="A96">
        <f>IFERROR(INDEX(tblStellplatz[Stellplatz],ROW()-1),"")</f>
        <v/>
      </c>
      <c r="B96">
        <f>IFERROR(INDEX(tblStellplatz[SAP],ROW()-1),"")</f>
        <v/>
      </c>
      <c r="C96">
        <f>IF(B96="","",IFERROR(INDEX(tblMaterial[Bezeichnung],MATCH(B96,tblMaterial[SAP],0)),"?"))</f>
        <v/>
      </c>
      <c r="D96">
        <f>IF(B96="","",IFERROR(INDEX(tblMaterial[Lagerstand],MATCH(B96,tblMaterial[SAP],0)),"?"))</f>
        <v/>
      </c>
      <c r="E96">
        <f>IF(B96="","",IFERROR(INDEX(tblMaterial[Meldebestand],MATCH(B96,tblMaterial[SAP],0)),"?"))</f>
        <v/>
      </c>
      <c r="F96">
        <f>IF(OR(B96="",NOT(ISNUMBER(D96))),"",IF(D96&lt;E96,"JA",""))</f>
        <v/>
      </c>
    </row>
    <row r="97">
      <c r="A97">
        <f>IFERROR(INDEX(tblStellplatz[Stellplatz],ROW()-1),"")</f>
        <v/>
      </c>
      <c r="B97">
        <f>IFERROR(INDEX(tblStellplatz[SAP],ROW()-1),"")</f>
        <v/>
      </c>
      <c r="C97">
        <f>IF(B97="","",IFERROR(INDEX(tblMaterial[Bezeichnung],MATCH(B97,tblMaterial[SAP],0)),"?"))</f>
        <v/>
      </c>
      <c r="D97">
        <f>IF(B97="","",IFERROR(INDEX(tblMaterial[Lagerstand],MATCH(B97,tblMaterial[SAP],0)),"?"))</f>
        <v/>
      </c>
      <c r="E97">
        <f>IF(B97="","",IFERROR(INDEX(tblMaterial[Meldebestand],MATCH(B97,tblMaterial[SAP],0)),"?"))</f>
        <v/>
      </c>
      <c r="F97">
        <f>IF(OR(B97="",NOT(ISNUMBER(D97))),"",IF(D97&lt;E97,"JA",""))</f>
        <v/>
      </c>
    </row>
    <row r="98">
      <c r="A98">
        <f>IFERROR(INDEX(tblStellplatz[Stellplatz],ROW()-1),"")</f>
        <v/>
      </c>
      <c r="B98">
        <f>IFERROR(INDEX(tblStellplatz[SAP],ROW()-1),"")</f>
        <v/>
      </c>
      <c r="C98">
        <f>IF(B98="","",IFERROR(INDEX(tblMaterial[Bezeichnung],MATCH(B98,tblMaterial[SAP],0)),"?"))</f>
        <v/>
      </c>
      <c r="D98">
        <f>IF(B98="","",IFERROR(INDEX(tblMaterial[Lagerstand],MATCH(B98,tblMaterial[SAP],0)),"?"))</f>
        <v/>
      </c>
      <c r="E98">
        <f>IF(B98="","",IFERROR(INDEX(tblMaterial[Meldebestand],MATCH(B98,tblMaterial[SAP],0)),"?"))</f>
        <v/>
      </c>
      <c r="F98">
        <f>IF(OR(B98="",NOT(ISNUMBER(D98))),"",IF(D98&lt;E98,"JA",""))</f>
        <v/>
      </c>
    </row>
    <row r="99">
      <c r="A99">
        <f>IFERROR(INDEX(tblStellplatz[Stellplatz],ROW()-1),"")</f>
        <v/>
      </c>
      <c r="B99">
        <f>IFERROR(INDEX(tblStellplatz[SAP],ROW()-1),"")</f>
        <v/>
      </c>
      <c r="C99">
        <f>IF(B99="","",IFERROR(INDEX(tblMaterial[Bezeichnung],MATCH(B99,tblMaterial[SAP],0)),"?"))</f>
        <v/>
      </c>
      <c r="D99">
        <f>IF(B99="","",IFERROR(INDEX(tblMaterial[Lagerstand],MATCH(B99,tblMaterial[SAP],0)),"?"))</f>
        <v/>
      </c>
      <c r="E99">
        <f>IF(B99="","",IFERROR(INDEX(tblMaterial[Meldebestand],MATCH(B99,tblMaterial[SAP],0)),"?"))</f>
        <v/>
      </c>
      <c r="F99">
        <f>IF(OR(B99="",NOT(ISNUMBER(D99))),"",IF(D99&lt;E99,"JA",""))</f>
        <v/>
      </c>
    </row>
    <row r="100">
      <c r="A100">
        <f>IFERROR(INDEX(tblStellplatz[Stellplatz],ROW()-1),"")</f>
        <v/>
      </c>
      <c r="B100">
        <f>IFERROR(INDEX(tblStellplatz[SAP],ROW()-1),"")</f>
        <v/>
      </c>
      <c r="C100">
        <f>IF(B100="","",IFERROR(INDEX(tblMaterial[Bezeichnung],MATCH(B100,tblMaterial[SAP],0)),"?"))</f>
        <v/>
      </c>
      <c r="D100">
        <f>IF(B100="","",IFERROR(INDEX(tblMaterial[Lagerstand],MATCH(B100,tblMaterial[SAP],0)),"?"))</f>
        <v/>
      </c>
      <c r="E100">
        <f>IF(B100="","",IFERROR(INDEX(tblMaterial[Meldebestand],MATCH(B100,tblMaterial[SAP],0)),"?"))</f>
        <v/>
      </c>
      <c r="F100">
        <f>IF(OR(B100="",NOT(ISNUMBER(D100))),"",IF(D100&lt;E100,"JA",""))</f>
        <v/>
      </c>
    </row>
    <row r="101">
      <c r="A101">
        <f>IFERROR(INDEX(tblStellplatz[Stellplatz],ROW()-1),"")</f>
        <v/>
      </c>
      <c r="B101">
        <f>IFERROR(INDEX(tblStellplatz[SAP],ROW()-1),"")</f>
        <v/>
      </c>
      <c r="C101">
        <f>IF(B101="","",IFERROR(INDEX(tblMaterial[Bezeichnung],MATCH(B101,tblMaterial[SAP],0)),"?"))</f>
        <v/>
      </c>
      <c r="D101">
        <f>IF(B101="","",IFERROR(INDEX(tblMaterial[Lagerstand],MATCH(B101,tblMaterial[SAP],0)),"?"))</f>
        <v/>
      </c>
      <c r="E101">
        <f>IF(B101="","",IFERROR(INDEX(tblMaterial[Meldebestand],MATCH(B101,tblMaterial[SAP],0)),"?"))</f>
        <v/>
      </c>
      <c r="F101">
        <f>IF(OR(B101="",NOT(ISNUMBER(D101))),"",IF(D101&lt;E101,"JA",""))</f>
        <v/>
      </c>
    </row>
    <row r="102">
      <c r="A102">
        <f>IFERROR(INDEX(tblStellplatz[Stellplatz],ROW()-1),"")</f>
        <v/>
      </c>
      <c r="B102">
        <f>IFERROR(INDEX(tblStellplatz[SAP],ROW()-1),"")</f>
        <v/>
      </c>
      <c r="C102">
        <f>IF(B102="","",IFERROR(INDEX(tblMaterial[Bezeichnung],MATCH(B102,tblMaterial[SAP],0)),"?"))</f>
        <v/>
      </c>
      <c r="D102">
        <f>IF(B102="","",IFERROR(INDEX(tblMaterial[Lagerstand],MATCH(B102,tblMaterial[SAP],0)),"?"))</f>
        <v/>
      </c>
      <c r="E102">
        <f>IF(B102="","",IFERROR(INDEX(tblMaterial[Meldebestand],MATCH(B102,tblMaterial[SAP],0)),"?"))</f>
        <v/>
      </c>
      <c r="F102">
        <f>IF(OR(B102="",NOT(ISNUMBER(D102))),"",IF(D102&lt;E102,"JA",""))</f>
        <v/>
      </c>
    </row>
    <row r="103">
      <c r="A103">
        <f>IFERROR(INDEX(tblStellplatz[Stellplatz],ROW()-1),"")</f>
        <v/>
      </c>
      <c r="B103">
        <f>IFERROR(INDEX(tblStellplatz[SAP],ROW()-1),"")</f>
        <v/>
      </c>
      <c r="C103">
        <f>IF(B103="","",IFERROR(INDEX(tblMaterial[Bezeichnung],MATCH(B103,tblMaterial[SAP],0)),"?"))</f>
        <v/>
      </c>
      <c r="D103">
        <f>IF(B103="","",IFERROR(INDEX(tblMaterial[Lagerstand],MATCH(B103,tblMaterial[SAP],0)),"?"))</f>
        <v/>
      </c>
      <c r="E103">
        <f>IF(B103="","",IFERROR(INDEX(tblMaterial[Meldebestand],MATCH(B103,tblMaterial[SAP],0)),"?"))</f>
        <v/>
      </c>
      <c r="F103">
        <f>IF(OR(B103="",NOT(ISNUMBER(D103))),"",IF(D103&lt;E103,"JA",""))</f>
        <v/>
      </c>
    </row>
    <row r="104">
      <c r="A104">
        <f>IFERROR(INDEX(tblStellplatz[Stellplatz],ROW()-1),"")</f>
        <v/>
      </c>
      <c r="B104">
        <f>IFERROR(INDEX(tblStellplatz[SAP],ROW()-1),"")</f>
        <v/>
      </c>
      <c r="C104">
        <f>IF(B104="","",IFERROR(INDEX(tblMaterial[Bezeichnung],MATCH(B104,tblMaterial[SAP],0)),"?"))</f>
        <v/>
      </c>
      <c r="D104">
        <f>IF(B104="","",IFERROR(INDEX(tblMaterial[Lagerstand],MATCH(B104,tblMaterial[SAP],0)),"?"))</f>
        <v/>
      </c>
      <c r="E104">
        <f>IF(B104="","",IFERROR(INDEX(tblMaterial[Meldebestand],MATCH(B104,tblMaterial[SAP],0)),"?"))</f>
        <v/>
      </c>
      <c r="F104">
        <f>IF(OR(B104="",NOT(ISNUMBER(D104))),"",IF(D104&lt;E104,"JA",""))</f>
        <v/>
      </c>
    </row>
    <row r="105">
      <c r="A105">
        <f>IFERROR(INDEX(tblStellplatz[Stellplatz],ROW()-1),"")</f>
        <v/>
      </c>
      <c r="B105">
        <f>IFERROR(INDEX(tblStellplatz[SAP],ROW()-1),"")</f>
        <v/>
      </c>
      <c r="C105">
        <f>IF(B105="","",IFERROR(INDEX(tblMaterial[Bezeichnung],MATCH(B105,tblMaterial[SAP],0)),"?"))</f>
        <v/>
      </c>
      <c r="D105">
        <f>IF(B105="","",IFERROR(INDEX(tblMaterial[Lagerstand],MATCH(B105,tblMaterial[SAP],0)),"?"))</f>
        <v/>
      </c>
      <c r="E105">
        <f>IF(B105="","",IFERROR(INDEX(tblMaterial[Meldebestand],MATCH(B105,tblMaterial[SAP],0)),"?"))</f>
        <v/>
      </c>
      <c r="F105">
        <f>IF(OR(B105="",NOT(ISNUMBER(D105))),"",IF(D105&lt;E105,"JA",""))</f>
        <v/>
      </c>
    </row>
    <row r="106">
      <c r="A106">
        <f>IFERROR(INDEX(tblStellplatz[Stellplatz],ROW()-1),"")</f>
        <v/>
      </c>
      <c r="B106">
        <f>IFERROR(INDEX(tblStellplatz[SAP],ROW()-1),"")</f>
        <v/>
      </c>
      <c r="C106">
        <f>IF(B106="","",IFERROR(INDEX(tblMaterial[Bezeichnung],MATCH(B106,tblMaterial[SAP],0)),"?"))</f>
        <v/>
      </c>
      <c r="D106">
        <f>IF(B106="","",IFERROR(INDEX(tblMaterial[Lagerstand],MATCH(B106,tblMaterial[SAP],0)),"?"))</f>
        <v/>
      </c>
      <c r="E106">
        <f>IF(B106="","",IFERROR(INDEX(tblMaterial[Meldebestand],MATCH(B106,tblMaterial[SAP],0)),"?"))</f>
        <v/>
      </c>
      <c r="F106">
        <f>IF(OR(B106="",NOT(ISNUMBER(D106))),"",IF(D106&lt;E106,"JA",""))</f>
        <v/>
      </c>
    </row>
    <row r="107">
      <c r="A107">
        <f>IFERROR(INDEX(tblStellplatz[Stellplatz],ROW()-1),"")</f>
        <v/>
      </c>
      <c r="B107">
        <f>IFERROR(INDEX(tblStellplatz[SAP],ROW()-1),"")</f>
        <v/>
      </c>
      <c r="C107">
        <f>IF(B107="","",IFERROR(INDEX(tblMaterial[Bezeichnung],MATCH(B107,tblMaterial[SAP],0)),"?"))</f>
        <v/>
      </c>
      <c r="D107">
        <f>IF(B107="","",IFERROR(INDEX(tblMaterial[Lagerstand],MATCH(B107,tblMaterial[SAP],0)),"?"))</f>
        <v/>
      </c>
      <c r="E107">
        <f>IF(B107="","",IFERROR(INDEX(tblMaterial[Meldebestand],MATCH(B107,tblMaterial[SAP],0)),"?"))</f>
        <v/>
      </c>
      <c r="F107">
        <f>IF(OR(B107="",NOT(ISNUMBER(D107))),"",IF(D107&lt;E107,"JA",""))</f>
        <v/>
      </c>
    </row>
    <row r="108">
      <c r="A108">
        <f>IFERROR(INDEX(tblStellplatz[Stellplatz],ROW()-1),"")</f>
        <v/>
      </c>
      <c r="B108">
        <f>IFERROR(INDEX(tblStellplatz[SAP],ROW()-1),"")</f>
        <v/>
      </c>
      <c r="C108">
        <f>IF(B108="","",IFERROR(INDEX(tblMaterial[Bezeichnung],MATCH(B108,tblMaterial[SAP],0)),"?"))</f>
        <v/>
      </c>
      <c r="D108">
        <f>IF(B108="","",IFERROR(INDEX(tblMaterial[Lagerstand],MATCH(B108,tblMaterial[SAP],0)),"?"))</f>
        <v/>
      </c>
      <c r="E108">
        <f>IF(B108="","",IFERROR(INDEX(tblMaterial[Meldebestand],MATCH(B108,tblMaterial[SAP],0)),"?"))</f>
        <v/>
      </c>
      <c r="F108">
        <f>IF(OR(B108="",NOT(ISNUMBER(D108))),"",IF(D108&lt;E108,"JA",""))</f>
        <v/>
      </c>
    </row>
    <row r="109">
      <c r="A109">
        <f>IFERROR(INDEX(tblStellplatz[Stellplatz],ROW()-1),"")</f>
        <v/>
      </c>
      <c r="B109">
        <f>IFERROR(INDEX(tblStellplatz[SAP],ROW()-1),"")</f>
        <v/>
      </c>
      <c r="C109">
        <f>IF(B109="","",IFERROR(INDEX(tblMaterial[Bezeichnung],MATCH(B109,tblMaterial[SAP],0)),"?"))</f>
        <v/>
      </c>
      <c r="D109">
        <f>IF(B109="","",IFERROR(INDEX(tblMaterial[Lagerstand],MATCH(B109,tblMaterial[SAP],0)),"?"))</f>
        <v/>
      </c>
      <c r="E109">
        <f>IF(B109="","",IFERROR(INDEX(tblMaterial[Meldebestand],MATCH(B109,tblMaterial[SAP],0)),"?"))</f>
        <v/>
      </c>
      <c r="F109">
        <f>IF(OR(B109="",NOT(ISNUMBER(D109))),"",IF(D109&lt;E109,"JA",""))</f>
        <v/>
      </c>
    </row>
    <row r="110">
      <c r="A110">
        <f>IFERROR(INDEX(tblStellplatz[Stellplatz],ROW()-1),"")</f>
        <v/>
      </c>
      <c r="B110">
        <f>IFERROR(INDEX(tblStellplatz[SAP],ROW()-1),"")</f>
        <v/>
      </c>
      <c r="C110">
        <f>IF(B110="","",IFERROR(INDEX(tblMaterial[Bezeichnung],MATCH(B110,tblMaterial[SAP],0)),"?"))</f>
        <v/>
      </c>
      <c r="D110">
        <f>IF(B110="","",IFERROR(INDEX(tblMaterial[Lagerstand],MATCH(B110,tblMaterial[SAP],0)),"?"))</f>
        <v/>
      </c>
      <c r="E110">
        <f>IF(B110="","",IFERROR(INDEX(tblMaterial[Meldebestand],MATCH(B110,tblMaterial[SAP],0)),"?"))</f>
        <v/>
      </c>
      <c r="F110">
        <f>IF(OR(B110="",NOT(ISNUMBER(D110))),"",IF(D110&lt;E110,"JA",""))</f>
        <v/>
      </c>
    </row>
    <row r="111">
      <c r="A111">
        <f>IFERROR(INDEX(tblStellplatz[Stellplatz],ROW()-1),"")</f>
        <v/>
      </c>
      <c r="B111">
        <f>IFERROR(INDEX(tblStellplatz[SAP],ROW()-1),"")</f>
        <v/>
      </c>
      <c r="C111">
        <f>IF(B111="","",IFERROR(INDEX(tblMaterial[Bezeichnung],MATCH(B111,tblMaterial[SAP],0)),"?"))</f>
        <v/>
      </c>
      <c r="D111">
        <f>IF(B111="","",IFERROR(INDEX(tblMaterial[Lagerstand],MATCH(B111,tblMaterial[SAP],0)),"?"))</f>
        <v/>
      </c>
      <c r="E111">
        <f>IF(B111="","",IFERROR(INDEX(tblMaterial[Meldebestand],MATCH(B111,tblMaterial[SAP],0)),"?"))</f>
        <v/>
      </c>
      <c r="F111">
        <f>IF(OR(B111="",NOT(ISNUMBER(D111))),"",IF(D111&lt;E111,"JA",""))</f>
        <v/>
      </c>
    </row>
    <row r="112">
      <c r="A112">
        <f>IFERROR(INDEX(tblStellplatz[Stellplatz],ROW()-1),"")</f>
        <v/>
      </c>
      <c r="B112">
        <f>IFERROR(INDEX(tblStellplatz[SAP],ROW()-1),"")</f>
        <v/>
      </c>
      <c r="C112">
        <f>IF(B112="","",IFERROR(INDEX(tblMaterial[Bezeichnung],MATCH(B112,tblMaterial[SAP],0)),"?"))</f>
        <v/>
      </c>
      <c r="D112">
        <f>IF(B112="","",IFERROR(INDEX(tblMaterial[Lagerstand],MATCH(B112,tblMaterial[SAP],0)),"?"))</f>
        <v/>
      </c>
      <c r="E112">
        <f>IF(B112="","",IFERROR(INDEX(tblMaterial[Meldebestand],MATCH(B112,tblMaterial[SAP],0)),"?"))</f>
        <v/>
      </c>
      <c r="F112">
        <f>IF(OR(B112="",NOT(ISNUMBER(D112))),"",IF(D112&lt;E112,"JA",""))</f>
        <v/>
      </c>
    </row>
    <row r="113">
      <c r="A113">
        <f>IFERROR(INDEX(tblStellplatz[Stellplatz],ROW()-1),"")</f>
        <v/>
      </c>
      <c r="B113">
        <f>IFERROR(INDEX(tblStellplatz[SAP],ROW()-1),"")</f>
        <v/>
      </c>
      <c r="C113">
        <f>IF(B113="","",IFERROR(INDEX(tblMaterial[Bezeichnung],MATCH(B113,tblMaterial[SAP],0)),"?"))</f>
        <v/>
      </c>
      <c r="D113">
        <f>IF(B113="","",IFERROR(INDEX(tblMaterial[Lagerstand],MATCH(B113,tblMaterial[SAP],0)),"?"))</f>
        <v/>
      </c>
      <c r="E113">
        <f>IF(B113="","",IFERROR(INDEX(tblMaterial[Meldebestand],MATCH(B113,tblMaterial[SAP],0)),"?"))</f>
        <v/>
      </c>
      <c r="F113">
        <f>IF(OR(B113="",NOT(ISNUMBER(D113))),"",IF(D113&lt;E113,"JA",""))</f>
        <v/>
      </c>
    </row>
    <row r="114">
      <c r="A114">
        <f>IFERROR(INDEX(tblStellplatz[Stellplatz],ROW()-1),"")</f>
        <v/>
      </c>
      <c r="B114">
        <f>IFERROR(INDEX(tblStellplatz[SAP],ROW()-1),"")</f>
        <v/>
      </c>
      <c r="C114">
        <f>IF(B114="","",IFERROR(INDEX(tblMaterial[Bezeichnung],MATCH(B114,tblMaterial[SAP],0)),"?"))</f>
        <v/>
      </c>
      <c r="D114">
        <f>IF(B114="","",IFERROR(INDEX(tblMaterial[Lagerstand],MATCH(B114,tblMaterial[SAP],0)),"?"))</f>
        <v/>
      </c>
      <c r="E114">
        <f>IF(B114="","",IFERROR(INDEX(tblMaterial[Meldebestand],MATCH(B114,tblMaterial[SAP],0)),"?"))</f>
        <v/>
      </c>
      <c r="F114">
        <f>IF(OR(B114="",NOT(ISNUMBER(D114))),"",IF(D114&lt;E114,"JA",""))</f>
        <v/>
      </c>
    </row>
    <row r="115">
      <c r="A115">
        <f>IFERROR(INDEX(tblStellplatz[Stellplatz],ROW()-1),"")</f>
        <v/>
      </c>
      <c r="B115">
        <f>IFERROR(INDEX(tblStellplatz[SAP],ROW()-1),"")</f>
        <v/>
      </c>
      <c r="C115">
        <f>IF(B115="","",IFERROR(INDEX(tblMaterial[Bezeichnung],MATCH(B115,tblMaterial[SAP],0)),"?"))</f>
        <v/>
      </c>
      <c r="D115">
        <f>IF(B115="","",IFERROR(INDEX(tblMaterial[Lagerstand],MATCH(B115,tblMaterial[SAP],0)),"?"))</f>
        <v/>
      </c>
      <c r="E115">
        <f>IF(B115="","",IFERROR(INDEX(tblMaterial[Meldebestand],MATCH(B115,tblMaterial[SAP],0)),"?"))</f>
        <v/>
      </c>
      <c r="F115">
        <f>IF(OR(B115="",NOT(ISNUMBER(D115))),"",IF(D115&lt;E115,"JA",""))</f>
        <v/>
      </c>
    </row>
    <row r="116">
      <c r="A116">
        <f>IFERROR(INDEX(tblStellplatz[Stellplatz],ROW()-1),"")</f>
        <v/>
      </c>
      <c r="B116">
        <f>IFERROR(INDEX(tblStellplatz[SAP],ROW()-1),"")</f>
        <v/>
      </c>
      <c r="C116">
        <f>IF(B116="","",IFERROR(INDEX(tblMaterial[Bezeichnung],MATCH(B116,tblMaterial[SAP],0)),"?"))</f>
        <v/>
      </c>
      <c r="D116">
        <f>IF(B116="","",IFERROR(INDEX(tblMaterial[Lagerstand],MATCH(B116,tblMaterial[SAP],0)),"?"))</f>
        <v/>
      </c>
      <c r="E116">
        <f>IF(B116="","",IFERROR(INDEX(tblMaterial[Meldebestand],MATCH(B116,tblMaterial[SAP],0)),"?"))</f>
        <v/>
      </c>
      <c r="F116">
        <f>IF(OR(B116="",NOT(ISNUMBER(D116))),"",IF(D116&lt;E116,"JA",""))</f>
        <v/>
      </c>
    </row>
    <row r="117">
      <c r="A117">
        <f>IFERROR(INDEX(tblStellplatz[Stellplatz],ROW()-1),"")</f>
        <v/>
      </c>
      <c r="B117">
        <f>IFERROR(INDEX(tblStellplatz[SAP],ROW()-1),"")</f>
        <v/>
      </c>
      <c r="C117">
        <f>IF(B117="","",IFERROR(INDEX(tblMaterial[Bezeichnung],MATCH(B117,tblMaterial[SAP],0)),"?"))</f>
        <v/>
      </c>
      <c r="D117">
        <f>IF(B117="","",IFERROR(INDEX(tblMaterial[Lagerstand],MATCH(B117,tblMaterial[SAP],0)),"?"))</f>
        <v/>
      </c>
      <c r="E117">
        <f>IF(B117="","",IFERROR(INDEX(tblMaterial[Meldebestand],MATCH(B117,tblMaterial[SAP],0)),"?"))</f>
        <v/>
      </c>
      <c r="F117">
        <f>IF(OR(B117="",NOT(ISNUMBER(D117))),"",IF(D117&lt;E117,"JA",""))</f>
        <v/>
      </c>
    </row>
    <row r="118">
      <c r="A118">
        <f>IFERROR(INDEX(tblStellplatz[Stellplatz],ROW()-1),"")</f>
        <v/>
      </c>
      <c r="B118">
        <f>IFERROR(INDEX(tblStellplatz[SAP],ROW()-1),"")</f>
        <v/>
      </c>
      <c r="C118">
        <f>IF(B118="","",IFERROR(INDEX(tblMaterial[Bezeichnung],MATCH(B118,tblMaterial[SAP],0)),"?"))</f>
        <v/>
      </c>
      <c r="D118">
        <f>IF(B118="","",IFERROR(INDEX(tblMaterial[Lagerstand],MATCH(B118,tblMaterial[SAP],0)),"?"))</f>
        <v/>
      </c>
      <c r="E118">
        <f>IF(B118="","",IFERROR(INDEX(tblMaterial[Meldebestand],MATCH(B118,tblMaterial[SAP],0)),"?"))</f>
        <v/>
      </c>
      <c r="F118">
        <f>IF(OR(B118="",NOT(ISNUMBER(D118))),"",IF(D118&lt;E118,"JA",""))</f>
        <v/>
      </c>
    </row>
    <row r="119">
      <c r="A119">
        <f>IFERROR(INDEX(tblStellplatz[Stellplatz],ROW()-1),"")</f>
        <v/>
      </c>
      <c r="B119">
        <f>IFERROR(INDEX(tblStellplatz[SAP],ROW()-1),"")</f>
        <v/>
      </c>
      <c r="C119">
        <f>IF(B119="","",IFERROR(INDEX(tblMaterial[Bezeichnung],MATCH(B119,tblMaterial[SAP],0)),"?"))</f>
        <v/>
      </c>
      <c r="D119">
        <f>IF(B119="","",IFERROR(INDEX(tblMaterial[Lagerstand],MATCH(B119,tblMaterial[SAP],0)),"?"))</f>
        <v/>
      </c>
      <c r="E119">
        <f>IF(B119="","",IFERROR(INDEX(tblMaterial[Meldebestand],MATCH(B119,tblMaterial[SAP],0)),"?"))</f>
        <v/>
      </c>
      <c r="F119">
        <f>IF(OR(B119="",NOT(ISNUMBER(D119))),"",IF(D119&lt;E119,"JA",""))</f>
        <v/>
      </c>
    </row>
    <row r="120">
      <c r="A120">
        <f>IFERROR(INDEX(tblStellplatz[Stellplatz],ROW()-1),"")</f>
        <v/>
      </c>
      <c r="B120">
        <f>IFERROR(INDEX(tblStellplatz[SAP],ROW()-1),"")</f>
        <v/>
      </c>
      <c r="C120">
        <f>IF(B120="","",IFERROR(INDEX(tblMaterial[Bezeichnung],MATCH(B120,tblMaterial[SAP],0)),"?"))</f>
        <v/>
      </c>
      <c r="D120">
        <f>IF(B120="","",IFERROR(INDEX(tblMaterial[Lagerstand],MATCH(B120,tblMaterial[SAP],0)),"?"))</f>
        <v/>
      </c>
      <c r="E120">
        <f>IF(B120="","",IFERROR(INDEX(tblMaterial[Meldebestand],MATCH(B120,tblMaterial[SAP],0)),"?"))</f>
        <v/>
      </c>
      <c r="F120">
        <f>IF(OR(B120="",NOT(ISNUMBER(D120))),"",IF(D120&lt;E120,"JA",""))</f>
        <v/>
      </c>
    </row>
    <row r="121">
      <c r="A121">
        <f>IFERROR(INDEX(tblStellplatz[Stellplatz],ROW()-1),"")</f>
        <v/>
      </c>
      <c r="B121">
        <f>IFERROR(INDEX(tblStellplatz[SAP],ROW()-1),"")</f>
        <v/>
      </c>
      <c r="C121">
        <f>IF(B121="","",IFERROR(INDEX(tblMaterial[Bezeichnung],MATCH(B121,tblMaterial[SAP],0)),"?"))</f>
        <v/>
      </c>
      <c r="D121">
        <f>IF(B121="","",IFERROR(INDEX(tblMaterial[Lagerstand],MATCH(B121,tblMaterial[SAP],0)),"?"))</f>
        <v/>
      </c>
      <c r="E121">
        <f>IF(B121="","",IFERROR(INDEX(tblMaterial[Meldebestand],MATCH(B121,tblMaterial[SAP],0)),"?"))</f>
        <v/>
      </c>
      <c r="F121">
        <f>IF(OR(B121="",NOT(ISNUMBER(D121))),"",IF(D121&lt;E121,"JA",""))</f>
        <v/>
      </c>
    </row>
    <row r="122">
      <c r="A122">
        <f>IFERROR(INDEX(tblStellplatz[Stellplatz],ROW()-1),"")</f>
        <v/>
      </c>
      <c r="B122">
        <f>IFERROR(INDEX(tblStellplatz[SAP],ROW()-1),"")</f>
        <v/>
      </c>
      <c r="C122">
        <f>IF(B122="","",IFERROR(INDEX(tblMaterial[Bezeichnung],MATCH(B122,tblMaterial[SAP],0)),"?"))</f>
        <v/>
      </c>
      <c r="D122">
        <f>IF(B122="","",IFERROR(INDEX(tblMaterial[Lagerstand],MATCH(B122,tblMaterial[SAP],0)),"?"))</f>
        <v/>
      </c>
      <c r="E122">
        <f>IF(B122="","",IFERROR(INDEX(tblMaterial[Meldebestand],MATCH(B122,tblMaterial[SAP],0)),"?"))</f>
        <v/>
      </c>
      <c r="F122">
        <f>IF(OR(B122="",NOT(ISNUMBER(D122))),"",IF(D122&lt;E122,"JA",""))</f>
        <v/>
      </c>
    </row>
    <row r="123">
      <c r="A123">
        <f>IFERROR(INDEX(tblStellplatz[Stellplatz],ROW()-1),"")</f>
        <v/>
      </c>
      <c r="B123">
        <f>IFERROR(INDEX(tblStellplatz[SAP],ROW()-1),"")</f>
        <v/>
      </c>
      <c r="C123">
        <f>IF(B123="","",IFERROR(INDEX(tblMaterial[Bezeichnung],MATCH(B123,tblMaterial[SAP],0)),"?"))</f>
        <v/>
      </c>
      <c r="D123">
        <f>IF(B123="","",IFERROR(INDEX(tblMaterial[Lagerstand],MATCH(B123,tblMaterial[SAP],0)),"?"))</f>
        <v/>
      </c>
      <c r="E123">
        <f>IF(B123="","",IFERROR(INDEX(tblMaterial[Meldebestand],MATCH(B123,tblMaterial[SAP],0)),"?"))</f>
        <v/>
      </c>
      <c r="F123">
        <f>IF(OR(B123="",NOT(ISNUMBER(D123))),"",IF(D123&lt;E123,"JA",""))</f>
        <v/>
      </c>
    </row>
    <row r="124">
      <c r="A124">
        <f>IFERROR(INDEX(tblStellplatz[Stellplatz],ROW()-1),"")</f>
        <v/>
      </c>
      <c r="B124">
        <f>IFERROR(INDEX(tblStellplatz[SAP],ROW()-1),"")</f>
        <v/>
      </c>
      <c r="C124">
        <f>IF(B124="","",IFERROR(INDEX(tblMaterial[Bezeichnung],MATCH(B124,tblMaterial[SAP],0)),"?"))</f>
        <v/>
      </c>
      <c r="D124">
        <f>IF(B124="","",IFERROR(INDEX(tblMaterial[Lagerstand],MATCH(B124,tblMaterial[SAP],0)),"?"))</f>
        <v/>
      </c>
      <c r="E124">
        <f>IF(B124="","",IFERROR(INDEX(tblMaterial[Meldebestand],MATCH(B124,tblMaterial[SAP],0)),"?"))</f>
        <v/>
      </c>
      <c r="F124">
        <f>IF(OR(B124="",NOT(ISNUMBER(D124))),"",IF(D124&lt;E124,"JA",""))</f>
        <v/>
      </c>
    </row>
    <row r="125">
      <c r="A125">
        <f>IFERROR(INDEX(tblStellplatz[Stellplatz],ROW()-1),"")</f>
        <v/>
      </c>
      <c r="B125">
        <f>IFERROR(INDEX(tblStellplatz[SAP],ROW()-1),"")</f>
        <v/>
      </c>
      <c r="C125">
        <f>IF(B125="","",IFERROR(INDEX(tblMaterial[Bezeichnung],MATCH(B125,tblMaterial[SAP],0)),"?"))</f>
        <v/>
      </c>
      <c r="D125">
        <f>IF(B125="","",IFERROR(INDEX(tblMaterial[Lagerstand],MATCH(B125,tblMaterial[SAP],0)),"?"))</f>
        <v/>
      </c>
      <c r="E125">
        <f>IF(B125="","",IFERROR(INDEX(tblMaterial[Meldebestand],MATCH(B125,tblMaterial[SAP],0)),"?"))</f>
        <v/>
      </c>
      <c r="F125">
        <f>IF(OR(B125="",NOT(ISNUMBER(D125))),"",IF(D125&lt;E125,"JA",""))</f>
        <v/>
      </c>
    </row>
    <row r="126">
      <c r="A126">
        <f>IFERROR(INDEX(tblStellplatz[Stellplatz],ROW()-1),"")</f>
        <v/>
      </c>
      <c r="B126">
        <f>IFERROR(INDEX(tblStellplatz[SAP],ROW()-1),"")</f>
        <v/>
      </c>
      <c r="C126">
        <f>IF(B126="","",IFERROR(INDEX(tblMaterial[Bezeichnung],MATCH(B126,tblMaterial[SAP],0)),"?"))</f>
        <v/>
      </c>
      <c r="D126">
        <f>IF(B126="","",IFERROR(INDEX(tblMaterial[Lagerstand],MATCH(B126,tblMaterial[SAP],0)),"?"))</f>
        <v/>
      </c>
      <c r="E126">
        <f>IF(B126="","",IFERROR(INDEX(tblMaterial[Meldebestand],MATCH(B126,tblMaterial[SAP],0)),"?"))</f>
        <v/>
      </c>
      <c r="F126">
        <f>IF(OR(B126="",NOT(ISNUMBER(D126))),"",IF(D126&lt;E126,"JA",""))</f>
        <v/>
      </c>
    </row>
    <row r="127">
      <c r="A127">
        <f>IFERROR(INDEX(tblStellplatz[Stellplatz],ROW()-1),"")</f>
        <v/>
      </c>
      <c r="B127">
        <f>IFERROR(INDEX(tblStellplatz[SAP],ROW()-1),"")</f>
        <v/>
      </c>
      <c r="C127">
        <f>IF(B127="","",IFERROR(INDEX(tblMaterial[Bezeichnung],MATCH(B127,tblMaterial[SAP],0)),"?"))</f>
        <v/>
      </c>
      <c r="D127">
        <f>IF(B127="","",IFERROR(INDEX(tblMaterial[Lagerstand],MATCH(B127,tblMaterial[SAP],0)),"?"))</f>
        <v/>
      </c>
      <c r="E127">
        <f>IF(B127="","",IFERROR(INDEX(tblMaterial[Meldebestand],MATCH(B127,tblMaterial[SAP],0)),"?"))</f>
        <v/>
      </c>
      <c r="F127">
        <f>IF(OR(B127="",NOT(ISNUMBER(D127))),"",IF(D127&lt;E127,"JA",""))</f>
        <v/>
      </c>
    </row>
    <row r="128">
      <c r="A128">
        <f>IFERROR(INDEX(tblStellplatz[Stellplatz],ROW()-1),"")</f>
        <v/>
      </c>
      <c r="B128">
        <f>IFERROR(INDEX(tblStellplatz[SAP],ROW()-1),"")</f>
        <v/>
      </c>
      <c r="C128">
        <f>IF(B128="","",IFERROR(INDEX(tblMaterial[Bezeichnung],MATCH(B128,tblMaterial[SAP],0)),"?"))</f>
        <v/>
      </c>
      <c r="D128">
        <f>IF(B128="","",IFERROR(INDEX(tblMaterial[Lagerstand],MATCH(B128,tblMaterial[SAP],0)),"?"))</f>
        <v/>
      </c>
      <c r="E128">
        <f>IF(B128="","",IFERROR(INDEX(tblMaterial[Meldebestand],MATCH(B128,tblMaterial[SAP],0)),"?"))</f>
        <v/>
      </c>
      <c r="F128">
        <f>IF(OR(B128="",NOT(ISNUMBER(D128))),"",IF(D128&lt;E128,"JA",""))</f>
        <v/>
      </c>
    </row>
    <row r="129">
      <c r="A129">
        <f>IFERROR(INDEX(tblStellplatz[Stellplatz],ROW()-1),"")</f>
        <v/>
      </c>
      <c r="B129">
        <f>IFERROR(INDEX(tblStellplatz[SAP],ROW()-1),"")</f>
        <v/>
      </c>
      <c r="C129">
        <f>IF(B129="","",IFERROR(INDEX(tblMaterial[Bezeichnung],MATCH(B129,tblMaterial[SAP],0)),"?"))</f>
        <v/>
      </c>
      <c r="D129">
        <f>IF(B129="","",IFERROR(INDEX(tblMaterial[Lagerstand],MATCH(B129,tblMaterial[SAP],0)),"?"))</f>
        <v/>
      </c>
      <c r="E129">
        <f>IF(B129="","",IFERROR(INDEX(tblMaterial[Meldebestand],MATCH(B129,tblMaterial[SAP],0)),"?"))</f>
        <v/>
      </c>
      <c r="F129">
        <f>IF(OR(B129="",NOT(ISNUMBER(D129))),"",IF(D129&lt;E129,"JA",""))</f>
        <v/>
      </c>
    </row>
    <row r="130">
      <c r="A130">
        <f>IFERROR(INDEX(tblStellplatz[Stellplatz],ROW()-1),"")</f>
        <v/>
      </c>
      <c r="B130">
        <f>IFERROR(INDEX(tblStellplatz[SAP],ROW()-1),"")</f>
        <v/>
      </c>
      <c r="C130">
        <f>IF(B130="","",IFERROR(INDEX(tblMaterial[Bezeichnung],MATCH(B130,tblMaterial[SAP],0)),"?"))</f>
        <v/>
      </c>
      <c r="D130">
        <f>IF(B130="","",IFERROR(INDEX(tblMaterial[Lagerstand],MATCH(B130,tblMaterial[SAP],0)),"?"))</f>
        <v/>
      </c>
      <c r="E130">
        <f>IF(B130="","",IFERROR(INDEX(tblMaterial[Meldebestand],MATCH(B130,tblMaterial[SAP],0)),"?"))</f>
        <v/>
      </c>
      <c r="F130">
        <f>IF(OR(B130="",NOT(ISNUMBER(D130))),"",IF(D130&lt;E130,"JA",""))</f>
        <v/>
      </c>
    </row>
    <row r="131">
      <c r="A131">
        <f>IFERROR(INDEX(tblStellplatz[Stellplatz],ROW()-1),"")</f>
        <v/>
      </c>
      <c r="B131">
        <f>IFERROR(INDEX(tblStellplatz[SAP],ROW()-1),"")</f>
        <v/>
      </c>
      <c r="C131">
        <f>IF(B131="","",IFERROR(INDEX(tblMaterial[Bezeichnung],MATCH(B131,tblMaterial[SAP],0)),"?"))</f>
        <v/>
      </c>
      <c r="D131">
        <f>IF(B131="","",IFERROR(INDEX(tblMaterial[Lagerstand],MATCH(B131,tblMaterial[SAP],0)),"?"))</f>
        <v/>
      </c>
      <c r="E131">
        <f>IF(B131="","",IFERROR(INDEX(tblMaterial[Meldebestand],MATCH(B131,tblMaterial[SAP],0)),"?"))</f>
        <v/>
      </c>
      <c r="F131">
        <f>IF(OR(B131="",NOT(ISNUMBER(D131))),"",IF(D131&lt;E131,"JA",""))</f>
        <v/>
      </c>
    </row>
    <row r="132">
      <c r="A132">
        <f>IFERROR(INDEX(tblStellplatz[Stellplatz],ROW()-1),"")</f>
        <v/>
      </c>
      <c r="B132">
        <f>IFERROR(INDEX(tblStellplatz[SAP],ROW()-1),"")</f>
        <v/>
      </c>
      <c r="C132">
        <f>IF(B132="","",IFERROR(INDEX(tblMaterial[Bezeichnung],MATCH(B132,tblMaterial[SAP],0)),"?"))</f>
        <v/>
      </c>
      <c r="D132">
        <f>IF(B132="","",IFERROR(INDEX(tblMaterial[Lagerstand],MATCH(B132,tblMaterial[SAP],0)),"?"))</f>
        <v/>
      </c>
      <c r="E132">
        <f>IF(B132="","",IFERROR(INDEX(tblMaterial[Meldebestand],MATCH(B132,tblMaterial[SAP],0)),"?"))</f>
        <v/>
      </c>
      <c r="F132">
        <f>IF(OR(B132="",NOT(ISNUMBER(D132))),"",IF(D132&lt;E132,"JA",""))</f>
        <v/>
      </c>
    </row>
    <row r="133">
      <c r="A133">
        <f>IFERROR(INDEX(tblStellplatz[Stellplatz],ROW()-1),"")</f>
        <v/>
      </c>
      <c r="B133">
        <f>IFERROR(INDEX(tblStellplatz[SAP],ROW()-1),"")</f>
        <v/>
      </c>
      <c r="C133">
        <f>IF(B133="","",IFERROR(INDEX(tblMaterial[Bezeichnung],MATCH(B133,tblMaterial[SAP],0)),"?"))</f>
        <v/>
      </c>
      <c r="D133">
        <f>IF(B133="","",IFERROR(INDEX(tblMaterial[Lagerstand],MATCH(B133,tblMaterial[SAP],0)),"?"))</f>
        <v/>
      </c>
      <c r="E133">
        <f>IF(B133="","",IFERROR(INDEX(tblMaterial[Meldebestand],MATCH(B133,tblMaterial[SAP],0)),"?"))</f>
        <v/>
      </c>
      <c r="F133">
        <f>IF(OR(B133="",NOT(ISNUMBER(D133))),"",IF(D133&lt;E133,"JA",""))</f>
        <v/>
      </c>
    </row>
    <row r="134">
      <c r="A134">
        <f>IFERROR(INDEX(tblStellplatz[Stellplatz],ROW()-1),"")</f>
        <v/>
      </c>
      <c r="B134">
        <f>IFERROR(INDEX(tblStellplatz[SAP],ROW()-1),"")</f>
        <v/>
      </c>
      <c r="C134">
        <f>IF(B134="","",IFERROR(INDEX(tblMaterial[Bezeichnung],MATCH(B134,tblMaterial[SAP],0)),"?"))</f>
        <v/>
      </c>
      <c r="D134">
        <f>IF(B134="","",IFERROR(INDEX(tblMaterial[Lagerstand],MATCH(B134,tblMaterial[SAP],0)),"?"))</f>
        <v/>
      </c>
      <c r="E134">
        <f>IF(B134="","",IFERROR(INDEX(tblMaterial[Meldebestand],MATCH(B134,tblMaterial[SAP],0)),"?"))</f>
        <v/>
      </c>
      <c r="F134">
        <f>IF(OR(B134="",NOT(ISNUMBER(D134))),"",IF(D134&lt;E134,"JA",""))</f>
        <v/>
      </c>
    </row>
    <row r="135">
      <c r="A135">
        <f>IFERROR(INDEX(tblStellplatz[Stellplatz],ROW()-1),"")</f>
        <v/>
      </c>
      <c r="B135">
        <f>IFERROR(INDEX(tblStellplatz[SAP],ROW()-1),"")</f>
        <v/>
      </c>
      <c r="C135">
        <f>IF(B135="","",IFERROR(INDEX(tblMaterial[Bezeichnung],MATCH(B135,tblMaterial[SAP],0)),"?"))</f>
        <v/>
      </c>
      <c r="D135">
        <f>IF(B135="","",IFERROR(INDEX(tblMaterial[Lagerstand],MATCH(B135,tblMaterial[SAP],0)),"?"))</f>
        <v/>
      </c>
      <c r="E135">
        <f>IF(B135="","",IFERROR(INDEX(tblMaterial[Meldebestand],MATCH(B135,tblMaterial[SAP],0)),"?"))</f>
        <v/>
      </c>
      <c r="F135">
        <f>IF(OR(B135="",NOT(ISNUMBER(D135))),"",IF(D135&lt;E135,"JA",""))</f>
        <v/>
      </c>
    </row>
    <row r="136">
      <c r="A136">
        <f>IFERROR(INDEX(tblStellplatz[Stellplatz],ROW()-1),"")</f>
        <v/>
      </c>
      <c r="B136">
        <f>IFERROR(INDEX(tblStellplatz[SAP],ROW()-1),"")</f>
        <v/>
      </c>
      <c r="C136">
        <f>IF(B136="","",IFERROR(INDEX(tblMaterial[Bezeichnung],MATCH(B136,tblMaterial[SAP],0)),"?"))</f>
        <v/>
      </c>
      <c r="D136">
        <f>IF(B136="","",IFERROR(INDEX(tblMaterial[Lagerstand],MATCH(B136,tblMaterial[SAP],0)),"?"))</f>
        <v/>
      </c>
      <c r="E136">
        <f>IF(B136="","",IFERROR(INDEX(tblMaterial[Meldebestand],MATCH(B136,tblMaterial[SAP],0)),"?"))</f>
        <v/>
      </c>
      <c r="F136">
        <f>IF(OR(B136="",NOT(ISNUMBER(D136))),"",IF(D136&lt;E136,"JA",""))</f>
        <v/>
      </c>
    </row>
    <row r="137">
      <c r="A137">
        <f>IFERROR(INDEX(tblStellplatz[Stellplatz],ROW()-1),"")</f>
        <v/>
      </c>
      <c r="B137">
        <f>IFERROR(INDEX(tblStellplatz[SAP],ROW()-1),"")</f>
        <v/>
      </c>
      <c r="C137">
        <f>IF(B137="","",IFERROR(INDEX(tblMaterial[Bezeichnung],MATCH(B137,tblMaterial[SAP],0)),"?"))</f>
        <v/>
      </c>
      <c r="D137">
        <f>IF(B137="","",IFERROR(INDEX(tblMaterial[Lagerstand],MATCH(B137,tblMaterial[SAP],0)),"?"))</f>
        <v/>
      </c>
      <c r="E137">
        <f>IF(B137="","",IFERROR(INDEX(tblMaterial[Meldebestand],MATCH(B137,tblMaterial[SAP],0)),"?"))</f>
        <v/>
      </c>
      <c r="F137">
        <f>IF(OR(B137="",NOT(ISNUMBER(D137))),"",IF(D137&lt;E137,"JA",""))</f>
        <v/>
      </c>
    </row>
    <row r="138">
      <c r="A138">
        <f>IFERROR(INDEX(tblStellplatz[Stellplatz],ROW()-1),"")</f>
        <v/>
      </c>
      <c r="B138">
        <f>IFERROR(INDEX(tblStellplatz[SAP],ROW()-1),"")</f>
        <v/>
      </c>
      <c r="C138">
        <f>IF(B138="","",IFERROR(INDEX(tblMaterial[Bezeichnung],MATCH(B138,tblMaterial[SAP],0)),"?"))</f>
        <v/>
      </c>
      <c r="D138">
        <f>IF(B138="","",IFERROR(INDEX(tblMaterial[Lagerstand],MATCH(B138,tblMaterial[SAP],0)),"?"))</f>
        <v/>
      </c>
      <c r="E138">
        <f>IF(B138="","",IFERROR(INDEX(tblMaterial[Meldebestand],MATCH(B138,tblMaterial[SAP],0)),"?"))</f>
        <v/>
      </c>
      <c r="F138">
        <f>IF(OR(B138="",NOT(ISNUMBER(D138))),"",IF(D138&lt;E138,"JA",""))</f>
        <v/>
      </c>
    </row>
    <row r="139">
      <c r="A139">
        <f>IFERROR(INDEX(tblStellplatz[Stellplatz],ROW()-1),"")</f>
        <v/>
      </c>
      <c r="B139">
        <f>IFERROR(INDEX(tblStellplatz[SAP],ROW()-1),"")</f>
        <v/>
      </c>
      <c r="C139">
        <f>IF(B139="","",IFERROR(INDEX(tblMaterial[Bezeichnung],MATCH(B139,tblMaterial[SAP],0)),"?"))</f>
        <v/>
      </c>
      <c r="D139">
        <f>IF(B139="","",IFERROR(INDEX(tblMaterial[Lagerstand],MATCH(B139,tblMaterial[SAP],0)),"?"))</f>
        <v/>
      </c>
      <c r="E139">
        <f>IF(B139="","",IFERROR(INDEX(tblMaterial[Meldebestand],MATCH(B139,tblMaterial[SAP],0)),"?"))</f>
        <v/>
      </c>
      <c r="F139">
        <f>IF(OR(B139="",NOT(ISNUMBER(D139))),"",IF(D139&lt;E139,"JA",""))</f>
        <v/>
      </c>
    </row>
    <row r="140">
      <c r="A140">
        <f>IFERROR(INDEX(tblStellplatz[Stellplatz],ROW()-1),"")</f>
        <v/>
      </c>
      <c r="B140">
        <f>IFERROR(INDEX(tblStellplatz[SAP],ROW()-1),"")</f>
        <v/>
      </c>
      <c r="C140">
        <f>IF(B140="","",IFERROR(INDEX(tblMaterial[Bezeichnung],MATCH(B140,tblMaterial[SAP],0)),"?"))</f>
        <v/>
      </c>
      <c r="D140">
        <f>IF(B140="","",IFERROR(INDEX(tblMaterial[Lagerstand],MATCH(B140,tblMaterial[SAP],0)),"?"))</f>
        <v/>
      </c>
      <c r="E140">
        <f>IF(B140="","",IFERROR(INDEX(tblMaterial[Meldebestand],MATCH(B140,tblMaterial[SAP],0)),"?"))</f>
        <v/>
      </c>
      <c r="F140">
        <f>IF(OR(B140="",NOT(ISNUMBER(D140))),"",IF(D140&lt;E140,"JA",""))</f>
        <v/>
      </c>
    </row>
    <row r="141">
      <c r="A141">
        <f>IFERROR(INDEX(tblStellplatz[Stellplatz],ROW()-1),"")</f>
        <v/>
      </c>
      <c r="B141">
        <f>IFERROR(INDEX(tblStellplatz[SAP],ROW()-1),"")</f>
        <v/>
      </c>
      <c r="C141">
        <f>IF(B141="","",IFERROR(INDEX(tblMaterial[Bezeichnung],MATCH(B141,tblMaterial[SAP],0)),"?"))</f>
        <v/>
      </c>
      <c r="D141">
        <f>IF(B141="","",IFERROR(INDEX(tblMaterial[Lagerstand],MATCH(B141,tblMaterial[SAP],0)),"?"))</f>
        <v/>
      </c>
      <c r="E141">
        <f>IF(B141="","",IFERROR(INDEX(tblMaterial[Meldebestand],MATCH(B141,tblMaterial[SAP],0)),"?"))</f>
        <v/>
      </c>
      <c r="F141">
        <f>IF(OR(B141="",NOT(ISNUMBER(D141))),"",IF(D141&lt;E141,"JA",""))</f>
        <v/>
      </c>
    </row>
    <row r="142">
      <c r="A142">
        <f>IFERROR(INDEX(tblStellplatz[Stellplatz],ROW()-1),"")</f>
        <v/>
      </c>
      <c r="B142">
        <f>IFERROR(INDEX(tblStellplatz[SAP],ROW()-1),"")</f>
        <v/>
      </c>
      <c r="C142">
        <f>IF(B142="","",IFERROR(INDEX(tblMaterial[Bezeichnung],MATCH(B142,tblMaterial[SAP],0)),"?"))</f>
        <v/>
      </c>
      <c r="D142">
        <f>IF(B142="","",IFERROR(INDEX(tblMaterial[Lagerstand],MATCH(B142,tblMaterial[SAP],0)),"?"))</f>
        <v/>
      </c>
      <c r="E142">
        <f>IF(B142="","",IFERROR(INDEX(tblMaterial[Meldebestand],MATCH(B142,tblMaterial[SAP],0)),"?"))</f>
        <v/>
      </c>
      <c r="F142">
        <f>IF(OR(B142="",NOT(ISNUMBER(D142))),"",IF(D142&lt;E142,"JA",""))</f>
        <v/>
      </c>
    </row>
    <row r="143">
      <c r="A143">
        <f>IFERROR(INDEX(tblStellplatz[Stellplatz],ROW()-1),"")</f>
        <v/>
      </c>
      <c r="B143">
        <f>IFERROR(INDEX(tblStellplatz[SAP],ROW()-1),"")</f>
        <v/>
      </c>
      <c r="C143">
        <f>IF(B143="","",IFERROR(INDEX(tblMaterial[Bezeichnung],MATCH(B143,tblMaterial[SAP],0)),"?"))</f>
        <v/>
      </c>
      <c r="D143">
        <f>IF(B143="","",IFERROR(INDEX(tblMaterial[Lagerstand],MATCH(B143,tblMaterial[SAP],0)),"?"))</f>
        <v/>
      </c>
      <c r="E143">
        <f>IF(B143="","",IFERROR(INDEX(tblMaterial[Meldebestand],MATCH(B143,tblMaterial[SAP],0)),"?"))</f>
        <v/>
      </c>
      <c r="F143">
        <f>IF(OR(B143="",NOT(ISNUMBER(D143))),"",IF(D143&lt;E143,"JA",""))</f>
        <v/>
      </c>
    </row>
    <row r="144">
      <c r="A144">
        <f>IFERROR(INDEX(tblStellplatz[Stellplatz],ROW()-1),"")</f>
        <v/>
      </c>
      <c r="B144">
        <f>IFERROR(INDEX(tblStellplatz[SAP],ROW()-1),"")</f>
        <v/>
      </c>
      <c r="C144">
        <f>IF(B144="","",IFERROR(INDEX(tblMaterial[Bezeichnung],MATCH(B144,tblMaterial[SAP],0)),"?"))</f>
        <v/>
      </c>
      <c r="D144">
        <f>IF(B144="","",IFERROR(INDEX(tblMaterial[Lagerstand],MATCH(B144,tblMaterial[SAP],0)),"?"))</f>
        <v/>
      </c>
      <c r="E144">
        <f>IF(B144="","",IFERROR(INDEX(tblMaterial[Meldebestand],MATCH(B144,tblMaterial[SAP],0)),"?"))</f>
        <v/>
      </c>
      <c r="F144">
        <f>IF(OR(B144="",NOT(ISNUMBER(D144))),"",IF(D144&lt;E144,"JA",""))</f>
        <v/>
      </c>
    </row>
    <row r="145">
      <c r="A145">
        <f>IFERROR(INDEX(tblStellplatz[Stellplatz],ROW()-1),"")</f>
        <v/>
      </c>
      <c r="B145">
        <f>IFERROR(INDEX(tblStellplatz[SAP],ROW()-1),"")</f>
        <v/>
      </c>
      <c r="C145">
        <f>IF(B145="","",IFERROR(INDEX(tblMaterial[Bezeichnung],MATCH(B145,tblMaterial[SAP],0)),"?"))</f>
        <v/>
      </c>
      <c r="D145">
        <f>IF(B145="","",IFERROR(INDEX(tblMaterial[Lagerstand],MATCH(B145,tblMaterial[SAP],0)),"?"))</f>
        <v/>
      </c>
      <c r="E145">
        <f>IF(B145="","",IFERROR(INDEX(tblMaterial[Meldebestand],MATCH(B145,tblMaterial[SAP],0)),"?"))</f>
        <v/>
      </c>
      <c r="F145">
        <f>IF(OR(B145="",NOT(ISNUMBER(D145))),"",IF(D145&lt;E145,"JA",""))</f>
        <v/>
      </c>
    </row>
    <row r="146">
      <c r="A146">
        <f>IFERROR(INDEX(tblStellplatz[Stellplatz],ROW()-1),"")</f>
        <v/>
      </c>
      <c r="B146">
        <f>IFERROR(INDEX(tblStellplatz[SAP],ROW()-1),"")</f>
        <v/>
      </c>
      <c r="C146">
        <f>IF(B146="","",IFERROR(INDEX(tblMaterial[Bezeichnung],MATCH(B146,tblMaterial[SAP],0)),"?"))</f>
        <v/>
      </c>
      <c r="D146">
        <f>IF(B146="","",IFERROR(INDEX(tblMaterial[Lagerstand],MATCH(B146,tblMaterial[SAP],0)),"?"))</f>
        <v/>
      </c>
      <c r="E146">
        <f>IF(B146="","",IFERROR(INDEX(tblMaterial[Meldebestand],MATCH(B146,tblMaterial[SAP],0)),"?"))</f>
        <v/>
      </c>
      <c r="F146">
        <f>IF(OR(B146="",NOT(ISNUMBER(D146))),"",IF(D146&lt;E146,"JA",""))</f>
        <v/>
      </c>
    </row>
    <row r="147">
      <c r="A147">
        <f>IFERROR(INDEX(tblStellplatz[Stellplatz],ROW()-1),"")</f>
        <v/>
      </c>
      <c r="B147">
        <f>IFERROR(INDEX(tblStellplatz[SAP],ROW()-1),"")</f>
        <v/>
      </c>
      <c r="C147">
        <f>IF(B147="","",IFERROR(INDEX(tblMaterial[Bezeichnung],MATCH(B147,tblMaterial[SAP],0)),"?"))</f>
        <v/>
      </c>
      <c r="D147">
        <f>IF(B147="","",IFERROR(INDEX(tblMaterial[Lagerstand],MATCH(B147,tblMaterial[SAP],0)),"?"))</f>
        <v/>
      </c>
      <c r="E147">
        <f>IF(B147="","",IFERROR(INDEX(tblMaterial[Meldebestand],MATCH(B147,tblMaterial[SAP],0)),"?"))</f>
        <v/>
      </c>
      <c r="F147">
        <f>IF(OR(B147="",NOT(ISNUMBER(D147))),"",IF(D147&lt;E147,"JA",""))</f>
        <v/>
      </c>
    </row>
    <row r="148">
      <c r="A148">
        <f>IFERROR(INDEX(tblStellplatz[Stellplatz],ROW()-1),"")</f>
        <v/>
      </c>
      <c r="B148">
        <f>IFERROR(INDEX(tblStellplatz[SAP],ROW()-1),"")</f>
        <v/>
      </c>
      <c r="C148">
        <f>IF(B148="","",IFERROR(INDEX(tblMaterial[Bezeichnung],MATCH(B148,tblMaterial[SAP],0)),"?"))</f>
        <v/>
      </c>
      <c r="D148">
        <f>IF(B148="","",IFERROR(INDEX(tblMaterial[Lagerstand],MATCH(B148,tblMaterial[SAP],0)),"?"))</f>
        <v/>
      </c>
      <c r="E148">
        <f>IF(B148="","",IFERROR(INDEX(tblMaterial[Meldebestand],MATCH(B148,tblMaterial[SAP],0)),"?"))</f>
        <v/>
      </c>
      <c r="F148">
        <f>IF(OR(B148="",NOT(ISNUMBER(D148))),"",IF(D148&lt;E148,"JA",""))</f>
        <v/>
      </c>
    </row>
    <row r="149">
      <c r="A149">
        <f>IFERROR(INDEX(tblStellplatz[Stellplatz],ROW()-1),"")</f>
        <v/>
      </c>
      <c r="B149">
        <f>IFERROR(INDEX(tblStellplatz[SAP],ROW()-1),"")</f>
        <v/>
      </c>
      <c r="C149">
        <f>IF(B149="","",IFERROR(INDEX(tblMaterial[Bezeichnung],MATCH(B149,tblMaterial[SAP],0)),"?"))</f>
        <v/>
      </c>
      <c r="D149">
        <f>IF(B149="","",IFERROR(INDEX(tblMaterial[Lagerstand],MATCH(B149,tblMaterial[SAP],0)),"?"))</f>
        <v/>
      </c>
      <c r="E149">
        <f>IF(B149="","",IFERROR(INDEX(tblMaterial[Meldebestand],MATCH(B149,tblMaterial[SAP],0)),"?"))</f>
        <v/>
      </c>
      <c r="F149">
        <f>IF(OR(B149="",NOT(ISNUMBER(D149))),"",IF(D149&lt;E149,"JA",""))</f>
        <v/>
      </c>
    </row>
    <row r="150">
      <c r="A150">
        <f>IFERROR(INDEX(tblStellplatz[Stellplatz],ROW()-1),"")</f>
        <v/>
      </c>
      <c r="B150">
        <f>IFERROR(INDEX(tblStellplatz[SAP],ROW()-1),"")</f>
        <v/>
      </c>
      <c r="C150">
        <f>IF(B150="","",IFERROR(INDEX(tblMaterial[Bezeichnung],MATCH(B150,tblMaterial[SAP],0)),"?"))</f>
        <v/>
      </c>
      <c r="D150">
        <f>IF(B150="","",IFERROR(INDEX(tblMaterial[Lagerstand],MATCH(B150,tblMaterial[SAP],0)),"?"))</f>
        <v/>
      </c>
      <c r="E150">
        <f>IF(B150="","",IFERROR(INDEX(tblMaterial[Meldebestand],MATCH(B150,tblMaterial[SAP],0)),"?"))</f>
        <v/>
      </c>
      <c r="F150">
        <f>IF(OR(B150="",NOT(ISNUMBER(D150))),"",IF(D150&lt;E150,"JA",""))</f>
        <v/>
      </c>
    </row>
    <row r="151">
      <c r="A151">
        <f>IFERROR(INDEX(tblStellplatz[Stellplatz],ROW()-1),"")</f>
        <v/>
      </c>
      <c r="B151">
        <f>IFERROR(INDEX(tblStellplatz[SAP],ROW()-1),"")</f>
        <v/>
      </c>
      <c r="C151">
        <f>IF(B151="","",IFERROR(INDEX(tblMaterial[Bezeichnung],MATCH(B151,tblMaterial[SAP],0)),"?"))</f>
        <v/>
      </c>
      <c r="D151">
        <f>IF(B151="","",IFERROR(INDEX(tblMaterial[Lagerstand],MATCH(B151,tblMaterial[SAP],0)),"?"))</f>
        <v/>
      </c>
      <c r="E151">
        <f>IF(B151="","",IFERROR(INDEX(tblMaterial[Meldebestand],MATCH(B151,tblMaterial[SAP],0)),"?"))</f>
        <v/>
      </c>
      <c r="F151">
        <f>IF(OR(B151="",NOT(ISNUMBER(D151))),"",IF(D151&lt;E151,"JA",""))</f>
        <v/>
      </c>
    </row>
    <row r="152">
      <c r="A152">
        <f>IFERROR(INDEX(tblStellplatz[Stellplatz],ROW()-1),"")</f>
        <v/>
      </c>
      <c r="B152">
        <f>IFERROR(INDEX(tblStellplatz[SAP],ROW()-1),"")</f>
        <v/>
      </c>
      <c r="C152">
        <f>IF(B152="","",IFERROR(INDEX(tblMaterial[Bezeichnung],MATCH(B152,tblMaterial[SAP],0)),"?"))</f>
        <v/>
      </c>
      <c r="D152">
        <f>IF(B152="","",IFERROR(INDEX(tblMaterial[Lagerstand],MATCH(B152,tblMaterial[SAP],0)),"?"))</f>
        <v/>
      </c>
      <c r="E152">
        <f>IF(B152="","",IFERROR(INDEX(tblMaterial[Meldebestand],MATCH(B152,tblMaterial[SAP],0)),"?"))</f>
        <v/>
      </c>
      <c r="F152">
        <f>IF(OR(B152="",NOT(ISNUMBER(D152))),"",IF(D152&lt;E152,"JA",""))</f>
        <v/>
      </c>
    </row>
    <row r="153">
      <c r="A153">
        <f>IFERROR(INDEX(tblStellplatz[Stellplatz],ROW()-1),"")</f>
        <v/>
      </c>
      <c r="B153">
        <f>IFERROR(INDEX(tblStellplatz[SAP],ROW()-1),"")</f>
        <v/>
      </c>
      <c r="C153">
        <f>IF(B153="","",IFERROR(INDEX(tblMaterial[Bezeichnung],MATCH(B153,tblMaterial[SAP],0)),"?"))</f>
        <v/>
      </c>
      <c r="D153">
        <f>IF(B153="","",IFERROR(INDEX(tblMaterial[Lagerstand],MATCH(B153,tblMaterial[SAP],0)),"?"))</f>
        <v/>
      </c>
      <c r="E153">
        <f>IF(B153="","",IFERROR(INDEX(tblMaterial[Meldebestand],MATCH(B153,tblMaterial[SAP],0)),"?"))</f>
        <v/>
      </c>
      <c r="F153">
        <f>IF(OR(B153="",NOT(ISNUMBER(D153))),"",IF(D153&lt;E153,"JA",""))</f>
        <v/>
      </c>
    </row>
    <row r="154">
      <c r="A154">
        <f>IFERROR(INDEX(tblStellplatz[Stellplatz],ROW()-1),"")</f>
        <v/>
      </c>
      <c r="B154">
        <f>IFERROR(INDEX(tblStellplatz[SAP],ROW()-1),"")</f>
        <v/>
      </c>
      <c r="C154">
        <f>IF(B154="","",IFERROR(INDEX(tblMaterial[Bezeichnung],MATCH(B154,tblMaterial[SAP],0)),"?"))</f>
        <v/>
      </c>
      <c r="D154">
        <f>IF(B154="","",IFERROR(INDEX(tblMaterial[Lagerstand],MATCH(B154,tblMaterial[SAP],0)),"?"))</f>
        <v/>
      </c>
      <c r="E154">
        <f>IF(B154="","",IFERROR(INDEX(tblMaterial[Meldebestand],MATCH(B154,tblMaterial[SAP],0)),"?"))</f>
        <v/>
      </c>
      <c r="F154">
        <f>IF(OR(B154="",NOT(ISNUMBER(D154))),"",IF(D154&lt;E154,"JA",""))</f>
        <v/>
      </c>
    </row>
    <row r="155">
      <c r="A155">
        <f>IFERROR(INDEX(tblStellplatz[Stellplatz],ROW()-1),"")</f>
        <v/>
      </c>
      <c r="B155">
        <f>IFERROR(INDEX(tblStellplatz[SAP],ROW()-1),"")</f>
        <v/>
      </c>
      <c r="C155">
        <f>IF(B155="","",IFERROR(INDEX(tblMaterial[Bezeichnung],MATCH(B155,tblMaterial[SAP],0)),"?"))</f>
        <v/>
      </c>
      <c r="D155">
        <f>IF(B155="","",IFERROR(INDEX(tblMaterial[Lagerstand],MATCH(B155,tblMaterial[SAP],0)),"?"))</f>
        <v/>
      </c>
      <c r="E155">
        <f>IF(B155="","",IFERROR(INDEX(tblMaterial[Meldebestand],MATCH(B155,tblMaterial[SAP],0)),"?"))</f>
        <v/>
      </c>
      <c r="F155">
        <f>IF(OR(B155="",NOT(ISNUMBER(D155))),"",IF(D155&lt;E155,"JA",""))</f>
        <v/>
      </c>
    </row>
    <row r="156">
      <c r="A156">
        <f>IFERROR(INDEX(tblStellplatz[Stellplatz],ROW()-1),"")</f>
        <v/>
      </c>
      <c r="B156">
        <f>IFERROR(INDEX(tblStellplatz[SAP],ROW()-1),"")</f>
        <v/>
      </c>
      <c r="C156">
        <f>IF(B156="","",IFERROR(INDEX(tblMaterial[Bezeichnung],MATCH(B156,tblMaterial[SAP],0)),"?"))</f>
        <v/>
      </c>
      <c r="D156">
        <f>IF(B156="","",IFERROR(INDEX(tblMaterial[Lagerstand],MATCH(B156,tblMaterial[SAP],0)),"?"))</f>
        <v/>
      </c>
      <c r="E156">
        <f>IF(B156="","",IFERROR(INDEX(tblMaterial[Meldebestand],MATCH(B156,tblMaterial[SAP],0)),"?"))</f>
        <v/>
      </c>
      <c r="F156">
        <f>IF(OR(B156="",NOT(ISNUMBER(D156))),"",IF(D156&lt;E156,"JA",""))</f>
        <v/>
      </c>
    </row>
    <row r="157">
      <c r="A157">
        <f>IFERROR(INDEX(tblStellplatz[Stellplatz],ROW()-1),"")</f>
        <v/>
      </c>
      <c r="B157">
        <f>IFERROR(INDEX(tblStellplatz[SAP],ROW()-1),"")</f>
        <v/>
      </c>
      <c r="C157">
        <f>IF(B157="","",IFERROR(INDEX(tblMaterial[Bezeichnung],MATCH(B157,tblMaterial[SAP],0)),"?"))</f>
        <v/>
      </c>
      <c r="D157">
        <f>IF(B157="","",IFERROR(INDEX(tblMaterial[Lagerstand],MATCH(B157,tblMaterial[SAP],0)),"?"))</f>
        <v/>
      </c>
      <c r="E157">
        <f>IF(B157="","",IFERROR(INDEX(tblMaterial[Meldebestand],MATCH(B157,tblMaterial[SAP],0)),"?"))</f>
        <v/>
      </c>
      <c r="F157">
        <f>IF(OR(B157="",NOT(ISNUMBER(D157))),"",IF(D157&lt;E157,"JA",""))</f>
        <v/>
      </c>
    </row>
    <row r="158">
      <c r="A158">
        <f>IFERROR(INDEX(tblStellplatz[Stellplatz],ROW()-1),"")</f>
        <v/>
      </c>
      <c r="B158">
        <f>IFERROR(INDEX(tblStellplatz[SAP],ROW()-1),"")</f>
        <v/>
      </c>
      <c r="C158">
        <f>IF(B158="","",IFERROR(INDEX(tblMaterial[Bezeichnung],MATCH(B158,tblMaterial[SAP],0)),"?"))</f>
        <v/>
      </c>
      <c r="D158">
        <f>IF(B158="","",IFERROR(INDEX(tblMaterial[Lagerstand],MATCH(B158,tblMaterial[SAP],0)),"?"))</f>
        <v/>
      </c>
      <c r="E158">
        <f>IF(B158="","",IFERROR(INDEX(tblMaterial[Meldebestand],MATCH(B158,tblMaterial[SAP],0)),"?"))</f>
        <v/>
      </c>
      <c r="F158">
        <f>IF(OR(B158="",NOT(ISNUMBER(D158))),"",IF(D158&lt;E158,"JA",""))</f>
        <v/>
      </c>
    </row>
    <row r="159">
      <c r="A159">
        <f>IFERROR(INDEX(tblStellplatz[Stellplatz],ROW()-1),"")</f>
        <v/>
      </c>
      <c r="B159">
        <f>IFERROR(INDEX(tblStellplatz[SAP],ROW()-1),"")</f>
        <v/>
      </c>
      <c r="C159">
        <f>IF(B159="","",IFERROR(INDEX(tblMaterial[Bezeichnung],MATCH(B159,tblMaterial[SAP],0)),"?"))</f>
        <v/>
      </c>
      <c r="D159">
        <f>IF(B159="","",IFERROR(INDEX(tblMaterial[Lagerstand],MATCH(B159,tblMaterial[SAP],0)),"?"))</f>
        <v/>
      </c>
      <c r="E159">
        <f>IF(B159="","",IFERROR(INDEX(tblMaterial[Meldebestand],MATCH(B159,tblMaterial[SAP],0)),"?"))</f>
        <v/>
      </c>
      <c r="F159">
        <f>IF(OR(B159="",NOT(ISNUMBER(D159))),"",IF(D159&lt;E159,"JA",""))</f>
        <v/>
      </c>
    </row>
    <row r="160">
      <c r="A160">
        <f>IFERROR(INDEX(tblStellplatz[Stellplatz],ROW()-1),"")</f>
        <v/>
      </c>
      <c r="B160">
        <f>IFERROR(INDEX(tblStellplatz[SAP],ROW()-1),"")</f>
        <v/>
      </c>
      <c r="C160">
        <f>IF(B160="","",IFERROR(INDEX(tblMaterial[Bezeichnung],MATCH(B160,tblMaterial[SAP],0)),"?"))</f>
        <v/>
      </c>
      <c r="D160">
        <f>IF(B160="","",IFERROR(INDEX(tblMaterial[Lagerstand],MATCH(B160,tblMaterial[SAP],0)),"?"))</f>
        <v/>
      </c>
      <c r="E160">
        <f>IF(B160="","",IFERROR(INDEX(tblMaterial[Meldebestand],MATCH(B160,tblMaterial[SAP],0)),"?"))</f>
        <v/>
      </c>
      <c r="F160">
        <f>IF(OR(B160="",NOT(ISNUMBER(D160))),"",IF(D160&lt;E160,"JA",""))</f>
        <v/>
      </c>
    </row>
    <row r="161">
      <c r="A161">
        <f>IFERROR(INDEX(tblStellplatz[Stellplatz],ROW()-1),"")</f>
        <v/>
      </c>
      <c r="B161">
        <f>IFERROR(INDEX(tblStellplatz[SAP],ROW()-1),"")</f>
        <v/>
      </c>
      <c r="C161">
        <f>IF(B161="","",IFERROR(INDEX(tblMaterial[Bezeichnung],MATCH(B161,tblMaterial[SAP],0)),"?"))</f>
        <v/>
      </c>
      <c r="D161">
        <f>IF(B161="","",IFERROR(INDEX(tblMaterial[Lagerstand],MATCH(B161,tblMaterial[SAP],0)),"?"))</f>
        <v/>
      </c>
      <c r="E161">
        <f>IF(B161="","",IFERROR(INDEX(tblMaterial[Meldebestand],MATCH(B161,tblMaterial[SAP],0)),"?"))</f>
        <v/>
      </c>
      <c r="F161">
        <f>IF(OR(B161="",NOT(ISNUMBER(D161))),"",IF(D161&lt;E161,"JA",""))</f>
        <v/>
      </c>
    </row>
    <row r="162">
      <c r="A162">
        <f>IFERROR(INDEX(tblStellplatz[Stellplatz],ROW()-1),"")</f>
        <v/>
      </c>
      <c r="B162">
        <f>IFERROR(INDEX(tblStellplatz[SAP],ROW()-1),"")</f>
        <v/>
      </c>
      <c r="C162">
        <f>IF(B162="","",IFERROR(INDEX(tblMaterial[Bezeichnung],MATCH(B162,tblMaterial[SAP],0)),"?"))</f>
        <v/>
      </c>
      <c r="D162">
        <f>IF(B162="","",IFERROR(INDEX(tblMaterial[Lagerstand],MATCH(B162,tblMaterial[SAP],0)),"?"))</f>
        <v/>
      </c>
      <c r="E162">
        <f>IF(B162="","",IFERROR(INDEX(tblMaterial[Meldebestand],MATCH(B162,tblMaterial[SAP],0)),"?"))</f>
        <v/>
      </c>
      <c r="F162">
        <f>IF(OR(B162="",NOT(ISNUMBER(D162))),"",IF(D162&lt;E162,"JA",""))</f>
        <v/>
      </c>
    </row>
    <row r="163">
      <c r="A163">
        <f>IFERROR(INDEX(tblStellplatz[Stellplatz],ROW()-1),"")</f>
        <v/>
      </c>
      <c r="B163">
        <f>IFERROR(INDEX(tblStellplatz[SAP],ROW()-1),"")</f>
        <v/>
      </c>
      <c r="C163">
        <f>IF(B163="","",IFERROR(INDEX(tblMaterial[Bezeichnung],MATCH(B163,tblMaterial[SAP],0)),"?"))</f>
        <v/>
      </c>
      <c r="D163">
        <f>IF(B163="","",IFERROR(INDEX(tblMaterial[Lagerstand],MATCH(B163,tblMaterial[SAP],0)),"?"))</f>
        <v/>
      </c>
      <c r="E163">
        <f>IF(B163="","",IFERROR(INDEX(tblMaterial[Meldebestand],MATCH(B163,tblMaterial[SAP],0)),"?"))</f>
        <v/>
      </c>
      <c r="F163">
        <f>IF(OR(B163="",NOT(ISNUMBER(D163))),"",IF(D163&lt;E163,"JA",""))</f>
        <v/>
      </c>
    </row>
    <row r="164">
      <c r="A164">
        <f>IFERROR(INDEX(tblStellplatz[Stellplatz],ROW()-1),"")</f>
        <v/>
      </c>
      <c r="B164">
        <f>IFERROR(INDEX(tblStellplatz[SAP],ROW()-1),"")</f>
        <v/>
      </c>
      <c r="C164">
        <f>IF(B164="","",IFERROR(INDEX(tblMaterial[Bezeichnung],MATCH(B164,tblMaterial[SAP],0)),"?"))</f>
        <v/>
      </c>
      <c r="D164">
        <f>IF(B164="","",IFERROR(INDEX(tblMaterial[Lagerstand],MATCH(B164,tblMaterial[SAP],0)),"?"))</f>
        <v/>
      </c>
      <c r="E164">
        <f>IF(B164="","",IFERROR(INDEX(tblMaterial[Meldebestand],MATCH(B164,tblMaterial[SAP],0)),"?"))</f>
        <v/>
      </c>
      <c r="F164">
        <f>IF(OR(B164="",NOT(ISNUMBER(D164))),"",IF(D164&lt;E164,"JA",""))</f>
        <v/>
      </c>
    </row>
    <row r="165">
      <c r="A165">
        <f>IFERROR(INDEX(tblStellplatz[Stellplatz],ROW()-1),"")</f>
        <v/>
      </c>
      <c r="B165">
        <f>IFERROR(INDEX(tblStellplatz[SAP],ROW()-1),"")</f>
        <v/>
      </c>
      <c r="C165">
        <f>IF(B165="","",IFERROR(INDEX(tblMaterial[Bezeichnung],MATCH(B165,tblMaterial[SAP],0)),"?"))</f>
        <v/>
      </c>
      <c r="D165">
        <f>IF(B165="","",IFERROR(INDEX(tblMaterial[Lagerstand],MATCH(B165,tblMaterial[SAP],0)),"?"))</f>
        <v/>
      </c>
      <c r="E165">
        <f>IF(B165="","",IFERROR(INDEX(tblMaterial[Meldebestand],MATCH(B165,tblMaterial[SAP],0)),"?"))</f>
        <v/>
      </c>
      <c r="F165">
        <f>IF(OR(B165="",NOT(ISNUMBER(D165))),"",IF(D165&lt;E165,"JA",""))</f>
        <v/>
      </c>
    </row>
    <row r="166">
      <c r="A166">
        <f>IFERROR(INDEX(tblStellplatz[Stellplatz],ROW()-1),"")</f>
        <v/>
      </c>
      <c r="B166">
        <f>IFERROR(INDEX(tblStellplatz[SAP],ROW()-1),"")</f>
        <v/>
      </c>
      <c r="C166">
        <f>IF(B166="","",IFERROR(INDEX(tblMaterial[Bezeichnung],MATCH(B166,tblMaterial[SAP],0)),"?"))</f>
        <v/>
      </c>
      <c r="D166">
        <f>IF(B166="","",IFERROR(INDEX(tblMaterial[Lagerstand],MATCH(B166,tblMaterial[SAP],0)),"?"))</f>
        <v/>
      </c>
      <c r="E166">
        <f>IF(B166="","",IFERROR(INDEX(tblMaterial[Meldebestand],MATCH(B166,tblMaterial[SAP],0)),"?"))</f>
        <v/>
      </c>
      <c r="F166">
        <f>IF(OR(B166="",NOT(ISNUMBER(D166))),"",IF(D166&lt;E166,"JA",""))</f>
        <v/>
      </c>
    </row>
    <row r="167">
      <c r="A167">
        <f>IFERROR(INDEX(tblStellplatz[Stellplatz],ROW()-1),"")</f>
        <v/>
      </c>
      <c r="B167">
        <f>IFERROR(INDEX(tblStellplatz[SAP],ROW()-1),"")</f>
        <v/>
      </c>
      <c r="C167">
        <f>IF(B167="","",IFERROR(INDEX(tblMaterial[Bezeichnung],MATCH(B167,tblMaterial[SAP],0)),"?"))</f>
        <v/>
      </c>
      <c r="D167">
        <f>IF(B167="","",IFERROR(INDEX(tblMaterial[Lagerstand],MATCH(B167,tblMaterial[SAP],0)),"?"))</f>
        <v/>
      </c>
      <c r="E167">
        <f>IF(B167="","",IFERROR(INDEX(tblMaterial[Meldebestand],MATCH(B167,tblMaterial[SAP],0)),"?"))</f>
        <v/>
      </c>
      <c r="F167">
        <f>IF(OR(B167="",NOT(ISNUMBER(D167))),"",IF(D167&lt;E167,"JA",""))</f>
        <v/>
      </c>
    </row>
    <row r="168">
      <c r="A168">
        <f>IFERROR(INDEX(tblStellplatz[Stellplatz],ROW()-1),"")</f>
        <v/>
      </c>
      <c r="B168">
        <f>IFERROR(INDEX(tblStellplatz[SAP],ROW()-1),"")</f>
        <v/>
      </c>
      <c r="C168">
        <f>IF(B168="","",IFERROR(INDEX(tblMaterial[Bezeichnung],MATCH(B168,tblMaterial[SAP],0)),"?"))</f>
        <v/>
      </c>
      <c r="D168">
        <f>IF(B168="","",IFERROR(INDEX(tblMaterial[Lagerstand],MATCH(B168,tblMaterial[SAP],0)),"?"))</f>
        <v/>
      </c>
      <c r="E168">
        <f>IF(B168="","",IFERROR(INDEX(tblMaterial[Meldebestand],MATCH(B168,tblMaterial[SAP],0)),"?"))</f>
        <v/>
      </c>
      <c r="F168">
        <f>IF(OR(B168="",NOT(ISNUMBER(D168))),"",IF(D168&lt;E168,"JA",""))</f>
        <v/>
      </c>
    </row>
    <row r="169">
      <c r="A169">
        <f>IFERROR(INDEX(tblStellplatz[Stellplatz],ROW()-1),"")</f>
        <v/>
      </c>
      <c r="B169">
        <f>IFERROR(INDEX(tblStellplatz[SAP],ROW()-1),"")</f>
        <v/>
      </c>
      <c r="C169">
        <f>IF(B169="","",IFERROR(INDEX(tblMaterial[Bezeichnung],MATCH(B169,tblMaterial[SAP],0)),"?"))</f>
        <v/>
      </c>
      <c r="D169">
        <f>IF(B169="","",IFERROR(INDEX(tblMaterial[Lagerstand],MATCH(B169,tblMaterial[SAP],0)),"?"))</f>
        <v/>
      </c>
      <c r="E169">
        <f>IF(B169="","",IFERROR(INDEX(tblMaterial[Meldebestand],MATCH(B169,tblMaterial[SAP],0)),"?"))</f>
        <v/>
      </c>
      <c r="F169">
        <f>IF(OR(B169="",NOT(ISNUMBER(D169))),"",IF(D169&lt;E169,"JA",""))</f>
        <v/>
      </c>
    </row>
    <row r="170">
      <c r="A170">
        <f>IFERROR(INDEX(tblStellplatz[Stellplatz],ROW()-1),"")</f>
        <v/>
      </c>
      <c r="B170">
        <f>IFERROR(INDEX(tblStellplatz[SAP],ROW()-1),"")</f>
        <v/>
      </c>
      <c r="C170">
        <f>IF(B170="","",IFERROR(INDEX(tblMaterial[Bezeichnung],MATCH(B170,tblMaterial[SAP],0)),"?"))</f>
        <v/>
      </c>
      <c r="D170">
        <f>IF(B170="","",IFERROR(INDEX(tblMaterial[Lagerstand],MATCH(B170,tblMaterial[SAP],0)),"?"))</f>
        <v/>
      </c>
      <c r="E170">
        <f>IF(B170="","",IFERROR(INDEX(tblMaterial[Meldebestand],MATCH(B170,tblMaterial[SAP],0)),"?"))</f>
        <v/>
      </c>
      <c r="F170">
        <f>IF(OR(B170="",NOT(ISNUMBER(D170))),"",IF(D170&lt;E170,"JA",""))</f>
        <v/>
      </c>
    </row>
    <row r="171">
      <c r="A171">
        <f>IFERROR(INDEX(tblStellplatz[Stellplatz],ROW()-1),"")</f>
        <v/>
      </c>
      <c r="B171">
        <f>IFERROR(INDEX(tblStellplatz[SAP],ROW()-1),"")</f>
        <v/>
      </c>
      <c r="C171">
        <f>IF(B171="","",IFERROR(INDEX(tblMaterial[Bezeichnung],MATCH(B171,tblMaterial[SAP],0)),"?"))</f>
        <v/>
      </c>
      <c r="D171">
        <f>IF(B171="","",IFERROR(INDEX(tblMaterial[Lagerstand],MATCH(B171,tblMaterial[SAP],0)),"?"))</f>
        <v/>
      </c>
      <c r="E171">
        <f>IF(B171="","",IFERROR(INDEX(tblMaterial[Meldebestand],MATCH(B171,tblMaterial[SAP],0)),"?"))</f>
        <v/>
      </c>
      <c r="F171">
        <f>IF(OR(B171="",NOT(ISNUMBER(D171))),"",IF(D171&lt;E171,"JA",""))</f>
        <v/>
      </c>
    </row>
    <row r="172">
      <c r="A172">
        <f>IFERROR(INDEX(tblStellplatz[Stellplatz],ROW()-1),"")</f>
        <v/>
      </c>
      <c r="B172">
        <f>IFERROR(INDEX(tblStellplatz[SAP],ROW()-1),"")</f>
        <v/>
      </c>
      <c r="C172">
        <f>IF(B172="","",IFERROR(INDEX(tblMaterial[Bezeichnung],MATCH(B172,tblMaterial[SAP],0)),"?"))</f>
        <v/>
      </c>
      <c r="D172">
        <f>IF(B172="","",IFERROR(INDEX(tblMaterial[Lagerstand],MATCH(B172,tblMaterial[SAP],0)),"?"))</f>
        <v/>
      </c>
      <c r="E172">
        <f>IF(B172="","",IFERROR(INDEX(tblMaterial[Meldebestand],MATCH(B172,tblMaterial[SAP],0)),"?"))</f>
        <v/>
      </c>
      <c r="F172">
        <f>IF(OR(B172="",NOT(ISNUMBER(D172))),"",IF(D172&lt;E172,"JA",""))</f>
        <v/>
      </c>
    </row>
    <row r="173">
      <c r="A173">
        <f>IFERROR(INDEX(tblStellplatz[Stellplatz],ROW()-1),"")</f>
        <v/>
      </c>
      <c r="B173">
        <f>IFERROR(INDEX(tblStellplatz[SAP],ROW()-1),"")</f>
        <v/>
      </c>
      <c r="C173">
        <f>IF(B173="","",IFERROR(INDEX(tblMaterial[Bezeichnung],MATCH(B173,tblMaterial[SAP],0)),"?"))</f>
        <v/>
      </c>
      <c r="D173">
        <f>IF(B173="","",IFERROR(INDEX(tblMaterial[Lagerstand],MATCH(B173,tblMaterial[SAP],0)),"?"))</f>
        <v/>
      </c>
      <c r="E173">
        <f>IF(B173="","",IFERROR(INDEX(tblMaterial[Meldebestand],MATCH(B173,tblMaterial[SAP],0)),"?"))</f>
        <v/>
      </c>
      <c r="F173">
        <f>IF(OR(B173="",NOT(ISNUMBER(D173))),"",IF(D173&lt;E173,"JA",""))</f>
        <v/>
      </c>
    </row>
    <row r="174">
      <c r="A174">
        <f>IFERROR(INDEX(tblStellplatz[Stellplatz],ROW()-1),"")</f>
        <v/>
      </c>
      <c r="B174">
        <f>IFERROR(INDEX(tblStellplatz[SAP],ROW()-1),"")</f>
        <v/>
      </c>
      <c r="C174">
        <f>IF(B174="","",IFERROR(INDEX(tblMaterial[Bezeichnung],MATCH(B174,tblMaterial[SAP],0)),"?"))</f>
        <v/>
      </c>
      <c r="D174">
        <f>IF(B174="","",IFERROR(INDEX(tblMaterial[Lagerstand],MATCH(B174,tblMaterial[SAP],0)),"?"))</f>
        <v/>
      </c>
      <c r="E174">
        <f>IF(B174="","",IFERROR(INDEX(tblMaterial[Meldebestand],MATCH(B174,tblMaterial[SAP],0)),"?"))</f>
        <v/>
      </c>
      <c r="F174">
        <f>IF(OR(B174="",NOT(ISNUMBER(D174))),"",IF(D174&lt;E174,"JA",""))</f>
        <v/>
      </c>
    </row>
    <row r="175">
      <c r="A175">
        <f>IFERROR(INDEX(tblStellplatz[Stellplatz],ROW()-1),"")</f>
        <v/>
      </c>
      <c r="B175">
        <f>IFERROR(INDEX(tblStellplatz[SAP],ROW()-1),"")</f>
        <v/>
      </c>
      <c r="C175">
        <f>IF(B175="","",IFERROR(INDEX(tblMaterial[Bezeichnung],MATCH(B175,tblMaterial[SAP],0)),"?"))</f>
        <v/>
      </c>
      <c r="D175">
        <f>IF(B175="","",IFERROR(INDEX(tblMaterial[Lagerstand],MATCH(B175,tblMaterial[SAP],0)),"?"))</f>
        <v/>
      </c>
      <c r="E175">
        <f>IF(B175="","",IFERROR(INDEX(tblMaterial[Meldebestand],MATCH(B175,tblMaterial[SAP],0)),"?"))</f>
        <v/>
      </c>
      <c r="F175">
        <f>IF(OR(B175="",NOT(ISNUMBER(D175))),"",IF(D175&lt;E175,"JA",""))</f>
        <v/>
      </c>
    </row>
    <row r="176">
      <c r="A176">
        <f>IFERROR(INDEX(tblStellplatz[Stellplatz],ROW()-1),"")</f>
        <v/>
      </c>
      <c r="B176">
        <f>IFERROR(INDEX(tblStellplatz[SAP],ROW()-1),"")</f>
        <v/>
      </c>
      <c r="C176">
        <f>IF(B176="","",IFERROR(INDEX(tblMaterial[Bezeichnung],MATCH(B176,tblMaterial[SAP],0)),"?"))</f>
        <v/>
      </c>
      <c r="D176">
        <f>IF(B176="","",IFERROR(INDEX(tblMaterial[Lagerstand],MATCH(B176,tblMaterial[SAP],0)),"?"))</f>
        <v/>
      </c>
      <c r="E176">
        <f>IF(B176="","",IFERROR(INDEX(tblMaterial[Meldebestand],MATCH(B176,tblMaterial[SAP],0)),"?"))</f>
        <v/>
      </c>
      <c r="F176">
        <f>IF(OR(B176="",NOT(ISNUMBER(D176))),"",IF(D176&lt;E176,"JA",""))</f>
        <v/>
      </c>
    </row>
    <row r="177">
      <c r="A177">
        <f>IFERROR(INDEX(tblStellplatz[Stellplatz],ROW()-1),"")</f>
        <v/>
      </c>
      <c r="B177">
        <f>IFERROR(INDEX(tblStellplatz[SAP],ROW()-1),"")</f>
        <v/>
      </c>
      <c r="C177">
        <f>IF(B177="","",IFERROR(INDEX(tblMaterial[Bezeichnung],MATCH(B177,tblMaterial[SAP],0)),"?"))</f>
        <v/>
      </c>
      <c r="D177">
        <f>IF(B177="","",IFERROR(INDEX(tblMaterial[Lagerstand],MATCH(B177,tblMaterial[SAP],0)),"?"))</f>
        <v/>
      </c>
      <c r="E177">
        <f>IF(B177="","",IFERROR(INDEX(tblMaterial[Meldebestand],MATCH(B177,tblMaterial[SAP],0)),"?"))</f>
        <v/>
      </c>
      <c r="F177">
        <f>IF(OR(B177="",NOT(ISNUMBER(D177))),"",IF(D177&lt;E177,"JA",""))</f>
        <v/>
      </c>
    </row>
    <row r="178">
      <c r="A178">
        <f>IFERROR(INDEX(tblStellplatz[Stellplatz],ROW()-1),"")</f>
        <v/>
      </c>
      <c r="B178">
        <f>IFERROR(INDEX(tblStellplatz[SAP],ROW()-1),"")</f>
        <v/>
      </c>
      <c r="C178">
        <f>IF(B178="","",IFERROR(INDEX(tblMaterial[Bezeichnung],MATCH(B178,tblMaterial[SAP],0)),"?"))</f>
        <v/>
      </c>
      <c r="D178">
        <f>IF(B178="","",IFERROR(INDEX(tblMaterial[Lagerstand],MATCH(B178,tblMaterial[SAP],0)),"?"))</f>
        <v/>
      </c>
      <c r="E178">
        <f>IF(B178="","",IFERROR(INDEX(tblMaterial[Meldebestand],MATCH(B178,tblMaterial[SAP],0)),"?"))</f>
        <v/>
      </c>
      <c r="F178">
        <f>IF(OR(B178="",NOT(ISNUMBER(D178))),"",IF(D178&lt;E178,"JA",""))</f>
        <v/>
      </c>
    </row>
    <row r="179">
      <c r="A179">
        <f>IFERROR(INDEX(tblStellplatz[Stellplatz],ROW()-1),"")</f>
        <v/>
      </c>
      <c r="B179">
        <f>IFERROR(INDEX(tblStellplatz[SAP],ROW()-1),"")</f>
        <v/>
      </c>
      <c r="C179">
        <f>IF(B179="","",IFERROR(INDEX(tblMaterial[Bezeichnung],MATCH(B179,tblMaterial[SAP],0)),"?"))</f>
        <v/>
      </c>
      <c r="D179">
        <f>IF(B179="","",IFERROR(INDEX(tblMaterial[Lagerstand],MATCH(B179,tblMaterial[SAP],0)),"?"))</f>
        <v/>
      </c>
      <c r="E179">
        <f>IF(B179="","",IFERROR(INDEX(tblMaterial[Meldebestand],MATCH(B179,tblMaterial[SAP],0)),"?"))</f>
        <v/>
      </c>
      <c r="F179">
        <f>IF(OR(B179="",NOT(ISNUMBER(D179))),"",IF(D179&lt;E179,"JA",""))</f>
        <v/>
      </c>
    </row>
    <row r="180">
      <c r="A180">
        <f>IFERROR(INDEX(tblStellplatz[Stellplatz],ROW()-1),"")</f>
        <v/>
      </c>
      <c r="B180">
        <f>IFERROR(INDEX(tblStellplatz[SAP],ROW()-1),"")</f>
        <v/>
      </c>
      <c r="C180">
        <f>IF(B180="","",IFERROR(INDEX(tblMaterial[Bezeichnung],MATCH(B180,tblMaterial[SAP],0)),"?"))</f>
        <v/>
      </c>
      <c r="D180">
        <f>IF(B180="","",IFERROR(INDEX(tblMaterial[Lagerstand],MATCH(B180,tblMaterial[SAP],0)),"?"))</f>
        <v/>
      </c>
      <c r="E180">
        <f>IF(B180="","",IFERROR(INDEX(tblMaterial[Meldebestand],MATCH(B180,tblMaterial[SAP],0)),"?"))</f>
        <v/>
      </c>
      <c r="F180">
        <f>IF(OR(B180="",NOT(ISNUMBER(D180))),"",IF(D180&lt;E180,"JA",""))</f>
        <v/>
      </c>
    </row>
    <row r="181">
      <c r="A181">
        <f>IFERROR(INDEX(tblStellplatz[Stellplatz],ROW()-1),"")</f>
        <v/>
      </c>
      <c r="B181">
        <f>IFERROR(INDEX(tblStellplatz[SAP],ROW()-1),"")</f>
        <v/>
      </c>
      <c r="C181">
        <f>IF(B181="","",IFERROR(INDEX(tblMaterial[Bezeichnung],MATCH(B181,tblMaterial[SAP],0)),"?"))</f>
        <v/>
      </c>
      <c r="D181">
        <f>IF(B181="","",IFERROR(INDEX(tblMaterial[Lagerstand],MATCH(B181,tblMaterial[SAP],0)),"?"))</f>
        <v/>
      </c>
      <c r="E181">
        <f>IF(B181="","",IFERROR(INDEX(tblMaterial[Meldebestand],MATCH(B181,tblMaterial[SAP],0)),"?"))</f>
        <v/>
      </c>
      <c r="F181">
        <f>IF(OR(B181="",NOT(ISNUMBER(D181))),"",IF(D181&lt;E181,"JA",""))</f>
        <v/>
      </c>
    </row>
    <row r="182">
      <c r="A182">
        <f>IFERROR(INDEX(tblStellplatz[Stellplatz],ROW()-1),"")</f>
        <v/>
      </c>
      <c r="B182">
        <f>IFERROR(INDEX(tblStellplatz[SAP],ROW()-1),"")</f>
        <v/>
      </c>
      <c r="C182">
        <f>IF(B182="","",IFERROR(INDEX(tblMaterial[Bezeichnung],MATCH(B182,tblMaterial[SAP],0)),"?"))</f>
        <v/>
      </c>
      <c r="D182">
        <f>IF(B182="","",IFERROR(INDEX(tblMaterial[Lagerstand],MATCH(B182,tblMaterial[SAP],0)),"?"))</f>
        <v/>
      </c>
      <c r="E182">
        <f>IF(B182="","",IFERROR(INDEX(tblMaterial[Meldebestand],MATCH(B182,tblMaterial[SAP],0)),"?"))</f>
        <v/>
      </c>
      <c r="F182">
        <f>IF(OR(B182="",NOT(ISNUMBER(D182))),"",IF(D182&lt;E182,"JA",""))</f>
        <v/>
      </c>
    </row>
    <row r="183">
      <c r="A183">
        <f>IFERROR(INDEX(tblStellplatz[Stellplatz],ROW()-1),"")</f>
        <v/>
      </c>
      <c r="B183">
        <f>IFERROR(INDEX(tblStellplatz[SAP],ROW()-1),"")</f>
        <v/>
      </c>
      <c r="C183">
        <f>IF(B183="","",IFERROR(INDEX(tblMaterial[Bezeichnung],MATCH(B183,tblMaterial[SAP],0)),"?"))</f>
        <v/>
      </c>
      <c r="D183">
        <f>IF(B183="","",IFERROR(INDEX(tblMaterial[Lagerstand],MATCH(B183,tblMaterial[SAP],0)),"?"))</f>
        <v/>
      </c>
      <c r="E183">
        <f>IF(B183="","",IFERROR(INDEX(tblMaterial[Meldebestand],MATCH(B183,tblMaterial[SAP],0)),"?"))</f>
        <v/>
      </c>
      <c r="F183">
        <f>IF(OR(B183="",NOT(ISNUMBER(D183))),"",IF(D183&lt;E183,"JA",""))</f>
        <v/>
      </c>
    </row>
    <row r="184">
      <c r="A184">
        <f>IFERROR(INDEX(tblStellplatz[Stellplatz],ROW()-1),"")</f>
        <v/>
      </c>
      <c r="B184">
        <f>IFERROR(INDEX(tblStellplatz[SAP],ROW()-1),"")</f>
        <v/>
      </c>
      <c r="C184">
        <f>IF(B184="","",IFERROR(INDEX(tblMaterial[Bezeichnung],MATCH(B184,tblMaterial[SAP],0)),"?"))</f>
        <v/>
      </c>
      <c r="D184">
        <f>IF(B184="","",IFERROR(INDEX(tblMaterial[Lagerstand],MATCH(B184,tblMaterial[SAP],0)),"?"))</f>
        <v/>
      </c>
      <c r="E184">
        <f>IF(B184="","",IFERROR(INDEX(tblMaterial[Meldebestand],MATCH(B184,tblMaterial[SAP],0)),"?"))</f>
        <v/>
      </c>
      <c r="F184">
        <f>IF(OR(B184="",NOT(ISNUMBER(D184))),"",IF(D184&lt;E184,"JA",""))</f>
        <v/>
      </c>
    </row>
    <row r="185">
      <c r="A185">
        <f>IFERROR(INDEX(tblStellplatz[Stellplatz],ROW()-1),"")</f>
        <v/>
      </c>
      <c r="B185">
        <f>IFERROR(INDEX(tblStellplatz[SAP],ROW()-1),"")</f>
        <v/>
      </c>
      <c r="C185">
        <f>IF(B185="","",IFERROR(INDEX(tblMaterial[Bezeichnung],MATCH(B185,tblMaterial[SAP],0)),"?"))</f>
        <v/>
      </c>
      <c r="D185">
        <f>IF(B185="","",IFERROR(INDEX(tblMaterial[Lagerstand],MATCH(B185,tblMaterial[SAP],0)),"?"))</f>
        <v/>
      </c>
      <c r="E185">
        <f>IF(B185="","",IFERROR(INDEX(tblMaterial[Meldebestand],MATCH(B185,tblMaterial[SAP],0)),"?"))</f>
        <v/>
      </c>
      <c r="F185">
        <f>IF(OR(B185="",NOT(ISNUMBER(D185))),"",IF(D185&lt;E185,"JA",""))</f>
        <v/>
      </c>
    </row>
    <row r="186">
      <c r="A186">
        <f>IFERROR(INDEX(tblStellplatz[Stellplatz],ROW()-1),"")</f>
        <v/>
      </c>
      <c r="B186">
        <f>IFERROR(INDEX(tblStellplatz[SAP],ROW()-1),"")</f>
        <v/>
      </c>
      <c r="C186">
        <f>IF(B186="","",IFERROR(INDEX(tblMaterial[Bezeichnung],MATCH(B186,tblMaterial[SAP],0)),"?"))</f>
        <v/>
      </c>
      <c r="D186">
        <f>IF(B186="","",IFERROR(INDEX(tblMaterial[Lagerstand],MATCH(B186,tblMaterial[SAP],0)),"?"))</f>
        <v/>
      </c>
      <c r="E186">
        <f>IF(B186="","",IFERROR(INDEX(tblMaterial[Meldebestand],MATCH(B186,tblMaterial[SAP],0)),"?"))</f>
        <v/>
      </c>
      <c r="F186">
        <f>IF(OR(B186="",NOT(ISNUMBER(D186))),"",IF(D186&lt;E186,"JA",""))</f>
        <v/>
      </c>
    </row>
    <row r="187">
      <c r="A187">
        <f>IFERROR(INDEX(tblStellplatz[Stellplatz],ROW()-1),"")</f>
        <v/>
      </c>
      <c r="B187">
        <f>IFERROR(INDEX(tblStellplatz[SAP],ROW()-1),"")</f>
        <v/>
      </c>
      <c r="C187">
        <f>IF(B187="","",IFERROR(INDEX(tblMaterial[Bezeichnung],MATCH(B187,tblMaterial[SAP],0)),"?"))</f>
        <v/>
      </c>
      <c r="D187">
        <f>IF(B187="","",IFERROR(INDEX(tblMaterial[Lagerstand],MATCH(B187,tblMaterial[SAP],0)),"?"))</f>
        <v/>
      </c>
      <c r="E187">
        <f>IF(B187="","",IFERROR(INDEX(tblMaterial[Meldebestand],MATCH(B187,tblMaterial[SAP],0)),"?"))</f>
        <v/>
      </c>
      <c r="F187">
        <f>IF(OR(B187="",NOT(ISNUMBER(D187))),"",IF(D187&lt;E187,"JA",""))</f>
        <v/>
      </c>
    </row>
    <row r="188">
      <c r="A188">
        <f>IFERROR(INDEX(tblStellplatz[Stellplatz],ROW()-1),"")</f>
        <v/>
      </c>
      <c r="B188">
        <f>IFERROR(INDEX(tblStellplatz[SAP],ROW()-1),"")</f>
        <v/>
      </c>
      <c r="C188">
        <f>IF(B188="","",IFERROR(INDEX(tblMaterial[Bezeichnung],MATCH(B188,tblMaterial[SAP],0)),"?"))</f>
        <v/>
      </c>
      <c r="D188">
        <f>IF(B188="","",IFERROR(INDEX(tblMaterial[Lagerstand],MATCH(B188,tblMaterial[SAP],0)),"?"))</f>
        <v/>
      </c>
      <c r="E188">
        <f>IF(B188="","",IFERROR(INDEX(tblMaterial[Meldebestand],MATCH(B188,tblMaterial[SAP],0)),"?"))</f>
        <v/>
      </c>
      <c r="F188">
        <f>IF(OR(B188="",NOT(ISNUMBER(D188))),"",IF(D188&lt;E188,"JA",""))</f>
        <v/>
      </c>
    </row>
    <row r="189">
      <c r="A189">
        <f>IFERROR(INDEX(tblStellplatz[Stellplatz],ROW()-1),"")</f>
        <v/>
      </c>
      <c r="B189">
        <f>IFERROR(INDEX(tblStellplatz[SAP],ROW()-1),"")</f>
        <v/>
      </c>
      <c r="C189">
        <f>IF(B189="","",IFERROR(INDEX(tblMaterial[Bezeichnung],MATCH(B189,tblMaterial[SAP],0)),"?"))</f>
        <v/>
      </c>
      <c r="D189">
        <f>IF(B189="","",IFERROR(INDEX(tblMaterial[Lagerstand],MATCH(B189,tblMaterial[SAP],0)),"?"))</f>
        <v/>
      </c>
      <c r="E189">
        <f>IF(B189="","",IFERROR(INDEX(tblMaterial[Meldebestand],MATCH(B189,tblMaterial[SAP],0)),"?"))</f>
        <v/>
      </c>
      <c r="F189">
        <f>IF(OR(B189="",NOT(ISNUMBER(D189))),"",IF(D189&lt;E189,"JA",""))</f>
        <v/>
      </c>
    </row>
    <row r="190">
      <c r="A190">
        <f>IFERROR(INDEX(tblStellplatz[Stellplatz],ROW()-1),"")</f>
        <v/>
      </c>
      <c r="B190">
        <f>IFERROR(INDEX(tblStellplatz[SAP],ROW()-1),"")</f>
        <v/>
      </c>
      <c r="C190">
        <f>IF(B190="","",IFERROR(INDEX(tblMaterial[Bezeichnung],MATCH(B190,tblMaterial[SAP],0)),"?"))</f>
        <v/>
      </c>
      <c r="D190">
        <f>IF(B190="","",IFERROR(INDEX(tblMaterial[Lagerstand],MATCH(B190,tblMaterial[SAP],0)),"?"))</f>
        <v/>
      </c>
      <c r="E190">
        <f>IF(B190="","",IFERROR(INDEX(tblMaterial[Meldebestand],MATCH(B190,tblMaterial[SAP],0)),"?"))</f>
        <v/>
      </c>
      <c r="F190">
        <f>IF(OR(B190="",NOT(ISNUMBER(D190))),"",IF(D190&lt;E190,"JA",""))</f>
        <v/>
      </c>
    </row>
    <row r="191">
      <c r="A191">
        <f>IFERROR(INDEX(tblStellplatz[Stellplatz],ROW()-1),"")</f>
        <v/>
      </c>
      <c r="B191">
        <f>IFERROR(INDEX(tblStellplatz[SAP],ROW()-1),"")</f>
        <v/>
      </c>
      <c r="C191">
        <f>IF(B191="","",IFERROR(INDEX(tblMaterial[Bezeichnung],MATCH(B191,tblMaterial[SAP],0)),"?"))</f>
        <v/>
      </c>
      <c r="D191">
        <f>IF(B191="","",IFERROR(INDEX(tblMaterial[Lagerstand],MATCH(B191,tblMaterial[SAP],0)),"?"))</f>
        <v/>
      </c>
      <c r="E191">
        <f>IF(B191="","",IFERROR(INDEX(tblMaterial[Meldebestand],MATCH(B191,tblMaterial[SAP],0)),"?"))</f>
        <v/>
      </c>
      <c r="F191">
        <f>IF(OR(B191="",NOT(ISNUMBER(D191))),"",IF(D191&lt;E191,"JA",""))</f>
        <v/>
      </c>
    </row>
    <row r="192">
      <c r="A192">
        <f>IFERROR(INDEX(tblStellplatz[Stellplatz],ROW()-1),"")</f>
        <v/>
      </c>
      <c r="B192">
        <f>IFERROR(INDEX(tblStellplatz[SAP],ROW()-1),"")</f>
        <v/>
      </c>
      <c r="C192">
        <f>IF(B192="","",IFERROR(INDEX(tblMaterial[Bezeichnung],MATCH(B192,tblMaterial[SAP],0)),"?"))</f>
        <v/>
      </c>
      <c r="D192">
        <f>IF(B192="","",IFERROR(INDEX(tblMaterial[Lagerstand],MATCH(B192,tblMaterial[SAP],0)),"?"))</f>
        <v/>
      </c>
      <c r="E192">
        <f>IF(B192="","",IFERROR(INDEX(tblMaterial[Meldebestand],MATCH(B192,tblMaterial[SAP],0)),"?"))</f>
        <v/>
      </c>
      <c r="F192">
        <f>IF(OR(B192="",NOT(ISNUMBER(D192))),"",IF(D192&lt;E192,"JA",""))</f>
        <v/>
      </c>
    </row>
    <row r="193">
      <c r="A193">
        <f>IFERROR(INDEX(tblStellplatz[Stellplatz],ROW()-1),"")</f>
        <v/>
      </c>
      <c r="B193">
        <f>IFERROR(INDEX(tblStellplatz[SAP],ROW()-1),"")</f>
        <v/>
      </c>
      <c r="C193">
        <f>IF(B193="","",IFERROR(INDEX(tblMaterial[Bezeichnung],MATCH(B193,tblMaterial[SAP],0)),"?"))</f>
        <v/>
      </c>
      <c r="D193">
        <f>IF(B193="","",IFERROR(INDEX(tblMaterial[Lagerstand],MATCH(B193,tblMaterial[SAP],0)),"?"))</f>
        <v/>
      </c>
      <c r="E193">
        <f>IF(B193="","",IFERROR(INDEX(tblMaterial[Meldebestand],MATCH(B193,tblMaterial[SAP],0)),"?"))</f>
        <v/>
      </c>
      <c r="F193">
        <f>IF(OR(B193="",NOT(ISNUMBER(D193))),"",IF(D193&lt;E193,"JA",""))</f>
        <v/>
      </c>
    </row>
    <row r="194">
      <c r="A194">
        <f>IFERROR(INDEX(tblStellplatz[Stellplatz],ROW()-1),"")</f>
        <v/>
      </c>
      <c r="B194">
        <f>IFERROR(INDEX(tblStellplatz[SAP],ROW()-1),"")</f>
        <v/>
      </c>
      <c r="C194">
        <f>IF(B194="","",IFERROR(INDEX(tblMaterial[Bezeichnung],MATCH(B194,tblMaterial[SAP],0)),"?"))</f>
        <v/>
      </c>
      <c r="D194">
        <f>IF(B194="","",IFERROR(INDEX(tblMaterial[Lagerstand],MATCH(B194,tblMaterial[SAP],0)),"?"))</f>
        <v/>
      </c>
      <c r="E194">
        <f>IF(B194="","",IFERROR(INDEX(tblMaterial[Meldebestand],MATCH(B194,tblMaterial[SAP],0)),"?"))</f>
        <v/>
      </c>
      <c r="F194">
        <f>IF(OR(B194="",NOT(ISNUMBER(D194))),"",IF(D194&lt;E194,"JA",""))</f>
        <v/>
      </c>
    </row>
    <row r="195">
      <c r="A195">
        <f>IFERROR(INDEX(tblStellplatz[Stellplatz],ROW()-1),"")</f>
        <v/>
      </c>
      <c r="B195">
        <f>IFERROR(INDEX(tblStellplatz[SAP],ROW()-1),"")</f>
        <v/>
      </c>
      <c r="C195">
        <f>IF(B195="","",IFERROR(INDEX(tblMaterial[Bezeichnung],MATCH(B195,tblMaterial[SAP],0)),"?"))</f>
        <v/>
      </c>
      <c r="D195">
        <f>IF(B195="","",IFERROR(INDEX(tblMaterial[Lagerstand],MATCH(B195,tblMaterial[SAP],0)),"?"))</f>
        <v/>
      </c>
      <c r="E195">
        <f>IF(B195="","",IFERROR(INDEX(tblMaterial[Meldebestand],MATCH(B195,tblMaterial[SAP],0)),"?"))</f>
        <v/>
      </c>
      <c r="F195">
        <f>IF(OR(B195="",NOT(ISNUMBER(D195))),"",IF(D195&lt;E195,"JA",""))</f>
        <v/>
      </c>
    </row>
    <row r="196">
      <c r="A196">
        <f>IFERROR(INDEX(tblStellplatz[Stellplatz],ROW()-1),"")</f>
        <v/>
      </c>
      <c r="B196">
        <f>IFERROR(INDEX(tblStellplatz[SAP],ROW()-1),"")</f>
        <v/>
      </c>
      <c r="C196">
        <f>IF(B196="","",IFERROR(INDEX(tblMaterial[Bezeichnung],MATCH(B196,tblMaterial[SAP],0)),"?"))</f>
        <v/>
      </c>
      <c r="D196">
        <f>IF(B196="","",IFERROR(INDEX(tblMaterial[Lagerstand],MATCH(B196,tblMaterial[SAP],0)),"?"))</f>
        <v/>
      </c>
      <c r="E196">
        <f>IF(B196="","",IFERROR(INDEX(tblMaterial[Meldebestand],MATCH(B196,tblMaterial[SAP],0)),"?"))</f>
        <v/>
      </c>
      <c r="F196">
        <f>IF(OR(B196="",NOT(ISNUMBER(D196))),"",IF(D196&lt;E196,"JA",""))</f>
        <v/>
      </c>
    </row>
    <row r="197">
      <c r="A197">
        <f>IFERROR(INDEX(tblStellplatz[Stellplatz],ROW()-1),"")</f>
        <v/>
      </c>
      <c r="B197">
        <f>IFERROR(INDEX(tblStellplatz[SAP],ROW()-1),"")</f>
        <v/>
      </c>
      <c r="C197">
        <f>IF(B197="","",IFERROR(INDEX(tblMaterial[Bezeichnung],MATCH(B197,tblMaterial[SAP],0)),"?"))</f>
        <v/>
      </c>
      <c r="D197">
        <f>IF(B197="","",IFERROR(INDEX(tblMaterial[Lagerstand],MATCH(B197,tblMaterial[SAP],0)),"?"))</f>
        <v/>
      </c>
      <c r="E197">
        <f>IF(B197="","",IFERROR(INDEX(tblMaterial[Meldebestand],MATCH(B197,tblMaterial[SAP],0)),"?"))</f>
        <v/>
      </c>
      <c r="F197">
        <f>IF(OR(B197="",NOT(ISNUMBER(D197))),"",IF(D197&lt;E197,"JA",""))</f>
        <v/>
      </c>
    </row>
    <row r="198">
      <c r="A198">
        <f>IFERROR(INDEX(tblStellplatz[Stellplatz],ROW()-1),"")</f>
        <v/>
      </c>
      <c r="B198">
        <f>IFERROR(INDEX(tblStellplatz[SAP],ROW()-1),"")</f>
        <v/>
      </c>
      <c r="C198">
        <f>IF(B198="","",IFERROR(INDEX(tblMaterial[Bezeichnung],MATCH(B198,tblMaterial[SAP],0)),"?"))</f>
        <v/>
      </c>
      <c r="D198">
        <f>IF(B198="","",IFERROR(INDEX(tblMaterial[Lagerstand],MATCH(B198,tblMaterial[SAP],0)),"?"))</f>
        <v/>
      </c>
      <c r="E198">
        <f>IF(B198="","",IFERROR(INDEX(tblMaterial[Meldebestand],MATCH(B198,tblMaterial[SAP],0)),"?"))</f>
        <v/>
      </c>
      <c r="F198">
        <f>IF(OR(B198="",NOT(ISNUMBER(D198))),"",IF(D198&lt;E198,"JA",""))</f>
        <v/>
      </c>
    </row>
    <row r="199">
      <c r="A199">
        <f>IFERROR(INDEX(tblStellplatz[Stellplatz],ROW()-1),"")</f>
        <v/>
      </c>
      <c r="B199">
        <f>IFERROR(INDEX(tblStellplatz[SAP],ROW()-1),"")</f>
        <v/>
      </c>
      <c r="C199">
        <f>IF(B199="","",IFERROR(INDEX(tblMaterial[Bezeichnung],MATCH(B199,tblMaterial[SAP],0)),"?"))</f>
        <v/>
      </c>
      <c r="D199">
        <f>IF(B199="","",IFERROR(INDEX(tblMaterial[Lagerstand],MATCH(B199,tblMaterial[SAP],0)),"?"))</f>
        <v/>
      </c>
      <c r="E199">
        <f>IF(B199="","",IFERROR(INDEX(tblMaterial[Meldebestand],MATCH(B199,tblMaterial[SAP],0)),"?"))</f>
        <v/>
      </c>
      <c r="F199">
        <f>IF(OR(B199="",NOT(ISNUMBER(D199))),"",IF(D199&lt;E199,"JA",""))</f>
        <v/>
      </c>
    </row>
    <row r="200">
      <c r="A200">
        <f>IFERROR(INDEX(tblStellplatz[Stellplatz],ROW()-1),"")</f>
        <v/>
      </c>
      <c r="B200">
        <f>IFERROR(INDEX(tblStellplatz[SAP],ROW()-1),"")</f>
        <v/>
      </c>
      <c r="C200">
        <f>IF(B200="","",IFERROR(INDEX(tblMaterial[Bezeichnung],MATCH(B200,tblMaterial[SAP],0)),"?"))</f>
        <v/>
      </c>
      <c r="D200">
        <f>IF(B200="","",IFERROR(INDEX(tblMaterial[Lagerstand],MATCH(B200,tblMaterial[SAP],0)),"?"))</f>
        <v/>
      </c>
      <c r="E200">
        <f>IF(B200="","",IFERROR(INDEX(tblMaterial[Meldebestand],MATCH(B200,tblMaterial[SAP],0)),"?"))</f>
        <v/>
      </c>
      <c r="F200">
        <f>IF(OR(B200="",NOT(ISNUMBER(D200))),"",IF(D200&lt;E200,"JA",""))</f>
        <v/>
      </c>
    </row>
    <row r="201">
      <c r="A201">
        <f>IFERROR(INDEX(tblStellplatz[Stellplatz],ROW()-1),"")</f>
        <v/>
      </c>
      <c r="B201">
        <f>IFERROR(INDEX(tblStellplatz[SAP],ROW()-1),"")</f>
        <v/>
      </c>
      <c r="C201">
        <f>IF(B201="","",IFERROR(INDEX(tblMaterial[Bezeichnung],MATCH(B201,tblMaterial[SAP],0)),"?"))</f>
        <v/>
      </c>
      <c r="D201">
        <f>IF(B201="","",IFERROR(INDEX(tblMaterial[Lagerstand],MATCH(B201,tblMaterial[SAP],0)),"?"))</f>
        <v/>
      </c>
      <c r="E201">
        <f>IF(B201="","",IFERROR(INDEX(tblMaterial[Meldebestand],MATCH(B201,tblMaterial[SAP],0)),"?"))</f>
        <v/>
      </c>
      <c r="F201">
        <f>IF(OR(B201="",NOT(ISNUMBER(D201))),"",IF(D201&lt;E201,"JA",""))</f>
        <v/>
      </c>
    </row>
    <row r="202">
      <c r="A202">
        <f>IFERROR(INDEX(tblStellplatz[Stellplatz],ROW()-1),"")</f>
        <v/>
      </c>
      <c r="B202">
        <f>IFERROR(INDEX(tblStellplatz[SAP],ROW()-1),"")</f>
        <v/>
      </c>
      <c r="C202">
        <f>IF(B202="","",IFERROR(INDEX(tblMaterial[Bezeichnung],MATCH(B202,tblMaterial[SAP],0)),"?"))</f>
        <v/>
      </c>
      <c r="D202">
        <f>IF(B202="","",IFERROR(INDEX(tblMaterial[Lagerstand],MATCH(B202,tblMaterial[SAP],0)),"?"))</f>
        <v/>
      </c>
      <c r="E202">
        <f>IF(B202="","",IFERROR(INDEX(tblMaterial[Meldebestand],MATCH(B202,tblMaterial[SAP],0)),"?"))</f>
        <v/>
      </c>
      <c r="F202">
        <f>IF(OR(B202="",NOT(ISNUMBER(D202))),"",IF(D202&lt;E202,"JA",""))</f>
        <v/>
      </c>
    </row>
    <row r="203">
      <c r="A203">
        <f>IFERROR(INDEX(tblStellplatz[Stellplatz],ROW()-1),"")</f>
        <v/>
      </c>
      <c r="B203">
        <f>IFERROR(INDEX(tblStellplatz[SAP],ROW()-1),"")</f>
        <v/>
      </c>
      <c r="C203">
        <f>IF(B203="","",IFERROR(INDEX(tblMaterial[Bezeichnung],MATCH(B203,tblMaterial[SAP],0)),"?"))</f>
        <v/>
      </c>
      <c r="D203">
        <f>IF(B203="","",IFERROR(INDEX(tblMaterial[Lagerstand],MATCH(B203,tblMaterial[SAP],0)),"?"))</f>
        <v/>
      </c>
      <c r="E203">
        <f>IF(B203="","",IFERROR(INDEX(tblMaterial[Meldebestand],MATCH(B203,tblMaterial[SAP],0)),"?"))</f>
        <v/>
      </c>
      <c r="F203">
        <f>IF(OR(B203="",NOT(ISNUMBER(D203))),"",IF(D203&lt;E203,"JA",""))</f>
        <v/>
      </c>
    </row>
    <row r="204">
      <c r="A204">
        <f>IFERROR(INDEX(tblStellplatz[Stellplatz],ROW()-1),"")</f>
        <v/>
      </c>
      <c r="B204">
        <f>IFERROR(INDEX(tblStellplatz[SAP],ROW()-1),"")</f>
        <v/>
      </c>
      <c r="C204">
        <f>IF(B204="","",IFERROR(INDEX(tblMaterial[Bezeichnung],MATCH(B204,tblMaterial[SAP],0)),"?"))</f>
        <v/>
      </c>
      <c r="D204">
        <f>IF(B204="","",IFERROR(INDEX(tblMaterial[Lagerstand],MATCH(B204,tblMaterial[SAP],0)),"?"))</f>
        <v/>
      </c>
      <c r="E204">
        <f>IF(B204="","",IFERROR(INDEX(tblMaterial[Meldebestand],MATCH(B204,tblMaterial[SAP],0)),"?"))</f>
        <v/>
      </c>
      <c r="F204">
        <f>IF(OR(B204="",NOT(ISNUMBER(D204))),"",IF(D204&lt;E204,"JA",""))</f>
        <v/>
      </c>
    </row>
    <row r="205">
      <c r="A205">
        <f>IFERROR(INDEX(tblStellplatz[Stellplatz],ROW()-1),"")</f>
        <v/>
      </c>
      <c r="B205">
        <f>IFERROR(INDEX(tblStellplatz[SAP],ROW()-1),"")</f>
        <v/>
      </c>
      <c r="C205">
        <f>IF(B205="","",IFERROR(INDEX(tblMaterial[Bezeichnung],MATCH(B205,tblMaterial[SAP],0)),"?"))</f>
        <v/>
      </c>
      <c r="D205">
        <f>IF(B205="","",IFERROR(INDEX(tblMaterial[Lagerstand],MATCH(B205,tblMaterial[SAP],0)),"?"))</f>
        <v/>
      </c>
      <c r="E205">
        <f>IF(B205="","",IFERROR(INDEX(tblMaterial[Meldebestand],MATCH(B205,tblMaterial[SAP],0)),"?"))</f>
        <v/>
      </c>
      <c r="F205">
        <f>IF(OR(B205="",NOT(ISNUMBER(D205))),"",IF(D205&lt;E205,"JA",""))</f>
        <v/>
      </c>
    </row>
    <row r="206">
      <c r="A206">
        <f>IFERROR(INDEX(tblStellplatz[Stellplatz],ROW()-1),"")</f>
        <v/>
      </c>
      <c r="B206">
        <f>IFERROR(INDEX(tblStellplatz[SAP],ROW()-1),"")</f>
        <v/>
      </c>
      <c r="C206">
        <f>IF(B206="","",IFERROR(INDEX(tblMaterial[Bezeichnung],MATCH(B206,tblMaterial[SAP],0)),"?"))</f>
        <v/>
      </c>
      <c r="D206">
        <f>IF(B206="","",IFERROR(INDEX(tblMaterial[Lagerstand],MATCH(B206,tblMaterial[SAP],0)),"?"))</f>
        <v/>
      </c>
      <c r="E206">
        <f>IF(B206="","",IFERROR(INDEX(tblMaterial[Meldebestand],MATCH(B206,tblMaterial[SAP],0)),"?"))</f>
        <v/>
      </c>
      <c r="F206">
        <f>IF(OR(B206="",NOT(ISNUMBER(D206))),"",IF(D206&lt;E206,"JA",""))</f>
        <v/>
      </c>
    </row>
    <row r="207">
      <c r="A207">
        <f>IFERROR(INDEX(tblStellplatz[Stellplatz],ROW()-1),"")</f>
        <v/>
      </c>
      <c r="B207">
        <f>IFERROR(INDEX(tblStellplatz[SAP],ROW()-1),"")</f>
        <v/>
      </c>
      <c r="C207">
        <f>IF(B207="","",IFERROR(INDEX(tblMaterial[Bezeichnung],MATCH(B207,tblMaterial[SAP],0)),"?"))</f>
        <v/>
      </c>
      <c r="D207">
        <f>IF(B207="","",IFERROR(INDEX(tblMaterial[Lagerstand],MATCH(B207,tblMaterial[SAP],0)),"?"))</f>
        <v/>
      </c>
      <c r="E207">
        <f>IF(B207="","",IFERROR(INDEX(tblMaterial[Meldebestand],MATCH(B207,tblMaterial[SAP],0)),"?"))</f>
        <v/>
      </c>
      <c r="F207">
        <f>IF(OR(B207="",NOT(ISNUMBER(D207))),"",IF(D207&lt;E207,"JA",""))</f>
        <v/>
      </c>
    </row>
    <row r="208">
      <c r="A208">
        <f>IFERROR(INDEX(tblStellplatz[Stellplatz],ROW()-1),"")</f>
        <v/>
      </c>
      <c r="B208">
        <f>IFERROR(INDEX(tblStellplatz[SAP],ROW()-1),"")</f>
        <v/>
      </c>
      <c r="C208">
        <f>IF(B208="","",IFERROR(INDEX(tblMaterial[Bezeichnung],MATCH(B208,tblMaterial[SAP],0)),"?"))</f>
        <v/>
      </c>
      <c r="D208">
        <f>IF(B208="","",IFERROR(INDEX(tblMaterial[Lagerstand],MATCH(B208,tblMaterial[SAP],0)),"?"))</f>
        <v/>
      </c>
      <c r="E208">
        <f>IF(B208="","",IFERROR(INDEX(tblMaterial[Meldebestand],MATCH(B208,tblMaterial[SAP],0)),"?"))</f>
        <v/>
      </c>
      <c r="F208">
        <f>IF(OR(B208="",NOT(ISNUMBER(D208))),"",IF(D208&lt;E208,"JA",""))</f>
        <v/>
      </c>
    </row>
    <row r="209">
      <c r="A209">
        <f>IFERROR(INDEX(tblStellplatz[Stellplatz],ROW()-1),"")</f>
        <v/>
      </c>
      <c r="B209">
        <f>IFERROR(INDEX(tblStellplatz[SAP],ROW()-1),"")</f>
        <v/>
      </c>
      <c r="C209">
        <f>IF(B209="","",IFERROR(INDEX(tblMaterial[Bezeichnung],MATCH(B209,tblMaterial[SAP],0)),"?"))</f>
        <v/>
      </c>
      <c r="D209">
        <f>IF(B209="","",IFERROR(INDEX(tblMaterial[Lagerstand],MATCH(B209,tblMaterial[SAP],0)),"?"))</f>
        <v/>
      </c>
      <c r="E209">
        <f>IF(B209="","",IFERROR(INDEX(tblMaterial[Meldebestand],MATCH(B209,tblMaterial[SAP],0)),"?"))</f>
        <v/>
      </c>
      <c r="F209">
        <f>IF(OR(B209="",NOT(ISNUMBER(D209))),"",IF(D209&lt;E209,"JA",""))</f>
        <v/>
      </c>
    </row>
    <row r="210">
      <c r="A210">
        <f>IFERROR(INDEX(tblStellplatz[Stellplatz],ROW()-1),"")</f>
        <v/>
      </c>
      <c r="B210">
        <f>IFERROR(INDEX(tblStellplatz[SAP],ROW()-1),"")</f>
        <v/>
      </c>
      <c r="C210">
        <f>IF(B210="","",IFERROR(INDEX(tblMaterial[Bezeichnung],MATCH(B210,tblMaterial[SAP],0)),"?"))</f>
        <v/>
      </c>
      <c r="D210">
        <f>IF(B210="","",IFERROR(INDEX(tblMaterial[Lagerstand],MATCH(B210,tblMaterial[SAP],0)),"?"))</f>
        <v/>
      </c>
      <c r="E210">
        <f>IF(B210="","",IFERROR(INDEX(tblMaterial[Meldebestand],MATCH(B210,tblMaterial[SAP],0)),"?"))</f>
        <v/>
      </c>
      <c r="F210">
        <f>IF(OR(B210="",NOT(ISNUMBER(D210))),"",IF(D210&lt;E210,"JA",""))</f>
        <v/>
      </c>
    </row>
    <row r="211">
      <c r="A211">
        <f>IFERROR(INDEX(tblStellplatz[Stellplatz],ROW()-1),"")</f>
        <v/>
      </c>
      <c r="B211">
        <f>IFERROR(INDEX(tblStellplatz[SAP],ROW()-1),"")</f>
        <v/>
      </c>
      <c r="C211">
        <f>IF(B211="","",IFERROR(INDEX(tblMaterial[Bezeichnung],MATCH(B211,tblMaterial[SAP],0)),"?"))</f>
        <v/>
      </c>
      <c r="D211">
        <f>IF(B211="","",IFERROR(INDEX(tblMaterial[Lagerstand],MATCH(B211,tblMaterial[SAP],0)),"?"))</f>
        <v/>
      </c>
      <c r="E211">
        <f>IF(B211="","",IFERROR(INDEX(tblMaterial[Meldebestand],MATCH(B211,tblMaterial[SAP],0)),"?"))</f>
        <v/>
      </c>
      <c r="F211">
        <f>IF(OR(B211="",NOT(ISNUMBER(D211))),"",IF(D211&lt;E211,"JA",""))</f>
        <v/>
      </c>
    </row>
    <row r="212">
      <c r="A212">
        <f>IFERROR(INDEX(tblStellplatz[Stellplatz],ROW()-1),"")</f>
        <v/>
      </c>
      <c r="B212">
        <f>IFERROR(INDEX(tblStellplatz[SAP],ROW()-1),"")</f>
        <v/>
      </c>
      <c r="C212">
        <f>IF(B212="","",IFERROR(INDEX(tblMaterial[Bezeichnung],MATCH(B212,tblMaterial[SAP],0)),"?"))</f>
        <v/>
      </c>
      <c r="D212">
        <f>IF(B212="","",IFERROR(INDEX(tblMaterial[Lagerstand],MATCH(B212,tblMaterial[SAP],0)),"?"))</f>
        <v/>
      </c>
      <c r="E212">
        <f>IF(B212="","",IFERROR(INDEX(tblMaterial[Meldebestand],MATCH(B212,tblMaterial[SAP],0)),"?"))</f>
        <v/>
      </c>
      <c r="F212">
        <f>IF(OR(B212="",NOT(ISNUMBER(D212))),"",IF(D212&lt;E212,"JA",""))</f>
        <v/>
      </c>
    </row>
    <row r="213">
      <c r="A213">
        <f>IFERROR(INDEX(tblStellplatz[Stellplatz],ROW()-1),"")</f>
        <v/>
      </c>
      <c r="B213">
        <f>IFERROR(INDEX(tblStellplatz[SAP],ROW()-1),"")</f>
        <v/>
      </c>
      <c r="C213">
        <f>IF(B213="","",IFERROR(INDEX(tblMaterial[Bezeichnung],MATCH(B213,tblMaterial[SAP],0)),"?"))</f>
        <v/>
      </c>
      <c r="D213">
        <f>IF(B213="","",IFERROR(INDEX(tblMaterial[Lagerstand],MATCH(B213,tblMaterial[SAP],0)),"?"))</f>
        <v/>
      </c>
      <c r="E213">
        <f>IF(B213="","",IFERROR(INDEX(tblMaterial[Meldebestand],MATCH(B213,tblMaterial[SAP],0)),"?"))</f>
        <v/>
      </c>
      <c r="F213">
        <f>IF(OR(B213="",NOT(ISNUMBER(D213))),"",IF(D213&lt;E213,"JA",""))</f>
        <v/>
      </c>
    </row>
    <row r="214">
      <c r="A214">
        <f>IFERROR(INDEX(tblStellplatz[Stellplatz],ROW()-1),"")</f>
        <v/>
      </c>
      <c r="B214">
        <f>IFERROR(INDEX(tblStellplatz[SAP],ROW()-1),"")</f>
        <v/>
      </c>
      <c r="C214">
        <f>IF(B214="","",IFERROR(INDEX(tblMaterial[Bezeichnung],MATCH(B214,tblMaterial[SAP],0)),"?"))</f>
        <v/>
      </c>
      <c r="D214">
        <f>IF(B214="","",IFERROR(INDEX(tblMaterial[Lagerstand],MATCH(B214,tblMaterial[SAP],0)),"?"))</f>
        <v/>
      </c>
      <c r="E214">
        <f>IF(B214="","",IFERROR(INDEX(tblMaterial[Meldebestand],MATCH(B214,tblMaterial[SAP],0)),"?"))</f>
        <v/>
      </c>
      <c r="F214">
        <f>IF(OR(B214="",NOT(ISNUMBER(D214))),"",IF(D214&lt;E214,"JA",""))</f>
        <v/>
      </c>
    </row>
    <row r="215">
      <c r="A215">
        <f>IFERROR(INDEX(tblStellplatz[Stellplatz],ROW()-1),"")</f>
        <v/>
      </c>
      <c r="B215">
        <f>IFERROR(INDEX(tblStellplatz[SAP],ROW()-1),"")</f>
        <v/>
      </c>
      <c r="C215">
        <f>IF(B215="","",IFERROR(INDEX(tblMaterial[Bezeichnung],MATCH(B215,tblMaterial[SAP],0)),"?"))</f>
        <v/>
      </c>
      <c r="D215">
        <f>IF(B215="","",IFERROR(INDEX(tblMaterial[Lagerstand],MATCH(B215,tblMaterial[SAP],0)),"?"))</f>
        <v/>
      </c>
      <c r="E215">
        <f>IF(B215="","",IFERROR(INDEX(tblMaterial[Meldebestand],MATCH(B215,tblMaterial[SAP],0)),"?"))</f>
        <v/>
      </c>
      <c r="F215">
        <f>IF(OR(B215="",NOT(ISNUMBER(D215))),"",IF(D215&lt;E215,"JA",""))</f>
        <v/>
      </c>
    </row>
    <row r="216">
      <c r="A216">
        <f>IFERROR(INDEX(tblStellplatz[Stellplatz],ROW()-1),"")</f>
        <v/>
      </c>
      <c r="B216">
        <f>IFERROR(INDEX(tblStellplatz[SAP],ROW()-1),"")</f>
        <v/>
      </c>
      <c r="C216">
        <f>IF(B216="","",IFERROR(INDEX(tblMaterial[Bezeichnung],MATCH(B216,tblMaterial[SAP],0)),"?"))</f>
        <v/>
      </c>
      <c r="D216">
        <f>IF(B216="","",IFERROR(INDEX(tblMaterial[Lagerstand],MATCH(B216,tblMaterial[SAP],0)),"?"))</f>
        <v/>
      </c>
      <c r="E216">
        <f>IF(B216="","",IFERROR(INDEX(tblMaterial[Meldebestand],MATCH(B216,tblMaterial[SAP],0)),"?"))</f>
        <v/>
      </c>
      <c r="F216">
        <f>IF(OR(B216="",NOT(ISNUMBER(D216))),"",IF(D216&lt;E216,"JA",""))</f>
        <v/>
      </c>
    </row>
    <row r="217">
      <c r="A217">
        <f>IFERROR(INDEX(tblStellplatz[Stellplatz],ROW()-1),"")</f>
        <v/>
      </c>
      <c r="B217">
        <f>IFERROR(INDEX(tblStellplatz[SAP],ROW()-1),"")</f>
        <v/>
      </c>
      <c r="C217">
        <f>IF(B217="","",IFERROR(INDEX(tblMaterial[Bezeichnung],MATCH(B217,tblMaterial[SAP],0)),"?"))</f>
        <v/>
      </c>
      <c r="D217">
        <f>IF(B217="","",IFERROR(INDEX(tblMaterial[Lagerstand],MATCH(B217,tblMaterial[SAP],0)),"?"))</f>
        <v/>
      </c>
      <c r="E217">
        <f>IF(B217="","",IFERROR(INDEX(tblMaterial[Meldebestand],MATCH(B217,tblMaterial[SAP],0)),"?"))</f>
        <v/>
      </c>
      <c r="F217">
        <f>IF(OR(B217="",NOT(ISNUMBER(D217))),"",IF(D217&lt;E217,"JA",""))</f>
        <v/>
      </c>
    </row>
    <row r="218">
      <c r="A218">
        <f>IFERROR(INDEX(tblStellplatz[Stellplatz],ROW()-1),"")</f>
        <v/>
      </c>
      <c r="B218">
        <f>IFERROR(INDEX(tblStellplatz[SAP],ROW()-1),"")</f>
        <v/>
      </c>
      <c r="C218">
        <f>IF(B218="","",IFERROR(INDEX(tblMaterial[Bezeichnung],MATCH(B218,tblMaterial[SAP],0)),"?"))</f>
        <v/>
      </c>
      <c r="D218">
        <f>IF(B218="","",IFERROR(INDEX(tblMaterial[Lagerstand],MATCH(B218,tblMaterial[SAP],0)),"?"))</f>
        <v/>
      </c>
      <c r="E218">
        <f>IF(B218="","",IFERROR(INDEX(tblMaterial[Meldebestand],MATCH(B218,tblMaterial[SAP],0)),"?"))</f>
        <v/>
      </c>
      <c r="F218">
        <f>IF(OR(B218="",NOT(ISNUMBER(D218))),"",IF(D218&lt;E218,"JA",""))</f>
        <v/>
      </c>
    </row>
    <row r="219">
      <c r="A219">
        <f>IFERROR(INDEX(tblStellplatz[Stellplatz],ROW()-1),"")</f>
        <v/>
      </c>
      <c r="B219">
        <f>IFERROR(INDEX(tblStellplatz[SAP],ROW()-1),"")</f>
        <v/>
      </c>
      <c r="C219">
        <f>IF(B219="","",IFERROR(INDEX(tblMaterial[Bezeichnung],MATCH(B219,tblMaterial[SAP],0)),"?"))</f>
        <v/>
      </c>
      <c r="D219">
        <f>IF(B219="","",IFERROR(INDEX(tblMaterial[Lagerstand],MATCH(B219,tblMaterial[SAP],0)),"?"))</f>
        <v/>
      </c>
      <c r="E219">
        <f>IF(B219="","",IFERROR(INDEX(tblMaterial[Meldebestand],MATCH(B219,tblMaterial[SAP],0)),"?"))</f>
        <v/>
      </c>
      <c r="F219">
        <f>IF(OR(B219="",NOT(ISNUMBER(D219))),"",IF(D219&lt;E219,"JA",""))</f>
        <v/>
      </c>
    </row>
    <row r="220">
      <c r="A220">
        <f>IFERROR(INDEX(tblStellplatz[Stellplatz],ROW()-1),"")</f>
        <v/>
      </c>
      <c r="B220">
        <f>IFERROR(INDEX(tblStellplatz[SAP],ROW()-1),"")</f>
        <v/>
      </c>
      <c r="C220">
        <f>IF(B220="","",IFERROR(INDEX(tblMaterial[Bezeichnung],MATCH(B220,tblMaterial[SAP],0)),"?"))</f>
        <v/>
      </c>
      <c r="D220">
        <f>IF(B220="","",IFERROR(INDEX(tblMaterial[Lagerstand],MATCH(B220,tblMaterial[SAP],0)),"?"))</f>
        <v/>
      </c>
      <c r="E220">
        <f>IF(B220="","",IFERROR(INDEX(tblMaterial[Meldebestand],MATCH(B220,tblMaterial[SAP],0)),"?"))</f>
        <v/>
      </c>
      <c r="F220">
        <f>IF(OR(B220="",NOT(ISNUMBER(D220))),"",IF(D220&lt;E220,"JA",""))</f>
        <v/>
      </c>
    </row>
    <row r="221">
      <c r="A221">
        <f>IFERROR(INDEX(tblStellplatz[Stellplatz],ROW()-1),"")</f>
        <v/>
      </c>
      <c r="B221">
        <f>IFERROR(INDEX(tblStellplatz[SAP],ROW()-1),"")</f>
        <v/>
      </c>
      <c r="C221">
        <f>IF(B221="","",IFERROR(INDEX(tblMaterial[Bezeichnung],MATCH(B221,tblMaterial[SAP],0)),"?"))</f>
        <v/>
      </c>
      <c r="D221">
        <f>IF(B221="","",IFERROR(INDEX(tblMaterial[Lagerstand],MATCH(B221,tblMaterial[SAP],0)),"?"))</f>
        <v/>
      </c>
      <c r="E221">
        <f>IF(B221="","",IFERROR(INDEX(tblMaterial[Meldebestand],MATCH(B221,tblMaterial[SAP],0)),"?"))</f>
        <v/>
      </c>
      <c r="F221">
        <f>IF(OR(B221="",NOT(ISNUMBER(D221))),"",IF(D221&lt;E221,"JA",""))</f>
        <v/>
      </c>
    </row>
    <row r="222">
      <c r="A222">
        <f>IFERROR(INDEX(tblStellplatz[Stellplatz],ROW()-1),"")</f>
        <v/>
      </c>
      <c r="B222">
        <f>IFERROR(INDEX(tblStellplatz[SAP],ROW()-1),"")</f>
        <v/>
      </c>
      <c r="C222">
        <f>IF(B222="","",IFERROR(INDEX(tblMaterial[Bezeichnung],MATCH(B222,tblMaterial[SAP],0)),"?"))</f>
        <v/>
      </c>
      <c r="D222">
        <f>IF(B222="","",IFERROR(INDEX(tblMaterial[Lagerstand],MATCH(B222,tblMaterial[SAP],0)),"?"))</f>
        <v/>
      </c>
      <c r="E222">
        <f>IF(B222="","",IFERROR(INDEX(tblMaterial[Meldebestand],MATCH(B222,tblMaterial[SAP],0)),"?"))</f>
        <v/>
      </c>
      <c r="F222">
        <f>IF(OR(B222="",NOT(ISNUMBER(D222))),"",IF(D222&lt;E222,"JA",""))</f>
        <v/>
      </c>
    </row>
    <row r="223">
      <c r="A223">
        <f>IFERROR(INDEX(tblStellplatz[Stellplatz],ROW()-1),"")</f>
        <v/>
      </c>
      <c r="B223">
        <f>IFERROR(INDEX(tblStellplatz[SAP],ROW()-1),"")</f>
        <v/>
      </c>
      <c r="C223">
        <f>IF(B223="","",IFERROR(INDEX(tblMaterial[Bezeichnung],MATCH(B223,tblMaterial[SAP],0)),"?"))</f>
        <v/>
      </c>
      <c r="D223">
        <f>IF(B223="","",IFERROR(INDEX(tblMaterial[Lagerstand],MATCH(B223,tblMaterial[SAP],0)),"?"))</f>
        <v/>
      </c>
      <c r="E223">
        <f>IF(B223="","",IFERROR(INDEX(tblMaterial[Meldebestand],MATCH(B223,tblMaterial[SAP],0)),"?"))</f>
        <v/>
      </c>
      <c r="F223">
        <f>IF(OR(B223="",NOT(ISNUMBER(D223))),"",IF(D223&lt;E223,"JA",""))</f>
        <v/>
      </c>
    </row>
    <row r="224">
      <c r="A224">
        <f>IFERROR(INDEX(tblStellplatz[Stellplatz],ROW()-1),"")</f>
        <v/>
      </c>
      <c r="B224">
        <f>IFERROR(INDEX(tblStellplatz[SAP],ROW()-1),"")</f>
        <v/>
      </c>
      <c r="C224">
        <f>IF(B224="","",IFERROR(INDEX(tblMaterial[Bezeichnung],MATCH(B224,tblMaterial[SAP],0)),"?"))</f>
        <v/>
      </c>
      <c r="D224">
        <f>IF(B224="","",IFERROR(INDEX(tblMaterial[Lagerstand],MATCH(B224,tblMaterial[SAP],0)),"?"))</f>
        <v/>
      </c>
      <c r="E224">
        <f>IF(B224="","",IFERROR(INDEX(tblMaterial[Meldebestand],MATCH(B224,tblMaterial[SAP],0)),"?"))</f>
        <v/>
      </c>
      <c r="F224">
        <f>IF(OR(B224="",NOT(ISNUMBER(D224))),"",IF(D224&lt;E224,"JA",""))</f>
        <v/>
      </c>
    </row>
    <row r="225">
      <c r="A225">
        <f>IFERROR(INDEX(tblStellplatz[Stellplatz],ROW()-1),"")</f>
        <v/>
      </c>
      <c r="B225">
        <f>IFERROR(INDEX(tblStellplatz[SAP],ROW()-1),"")</f>
        <v/>
      </c>
      <c r="C225">
        <f>IF(B225="","",IFERROR(INDEX(tblMaterial[Bezeichnung],MATCH(B225,tblMaterial[SAP],0)),"?"))</f>
        <v/>
      </c>
      <c r="D225">
        <f>IF(B225="","",IFERROR(INDEX(tblMaterial[Lagerstand],MATCH(B225,tblMaterial[SAP],0)),"?"))</f>
        <v/>
      </c>
      <c r="E225">
        <f>IF(B225="","",IFERROR(INDEX(tblMaterial[Meldebestand],MATCH(B225,tblMaterial[SAP],0)),"?"))</f>
        <v/>
      </c>
      <c r="F225">
        <f>IF(OR(B225="",NOT(ISNUMBER(D225))),"",IF(D225&lt;E225,"JA",""))</f>
        <v/>
      </c>
    </row>
    <row r="226">
      <c r="A226">
        <f>IFERROR(INDEX(tblStellplatz[Stellplatz],ROW()-1),"")</f>
        <v/>
      </c>
      <c r="B226">
        <f>IFERROR(INDEX(tblStellplatz[SAP],ROW()-1),"")</f>
        <v/>
      </c>
      <c r="C226">
        <f>IF(B226="","",IFERROR(INDEX(tblMaterial[Bezeichnung],MATCH(B226,tblMaterial[SAP],0)),"?"))</f>
        <v/>
      </c>
      <c r="D226">
        <f>IF(B226="","",IFERROR(INDEX(tblMaterial[Lagerstand],MATCH(B226,tblMaterial[SAP],0)),"?"))</f>
        <v/>
      </c>
      <c r="E226">
        <f>IF(B226="","",IFERROR(INDEX(tblMaterial[Meldebestand],MATCH(B226,tblMaterial[SAP],0)),"?"))</f>
        <v/>
      </c>
      <c r="F226">
        <f>IF(OR(B226="",NOT(ISNUMBER(D226))),"",IF(D226&lt;E226,"JA",""))</f>
        <v/>
      </c>
    </row>
    <row r="227">
      <c r="A227">
        <f>IFERROR(INDEX(tblStellplatz[Stellplatz],ROW()-1),"")</f>
        <v/>
      </c>
      <c r="B227">
        <f>IFERROR(INDEX(tblStellplatz[SAP],ROW()-1),"")</f>
        <v/>
      </c>
      <c r="C227">
        <f>IF(B227="","",IFERROR(INDEX(tblMaterial[Bezeichnung],MATCH(B227,tblMaterial[SAP],0)),"?"))</f>
        <v/>
      </c>
      <c r="D227">
        <f>IF(B227="","",IFERROR(INDEX(tblMaterial[Lagerstand],MATCH(B227,tblMaterial[SAP],0)),"?"))</f>
        <v/>
      </c>
      <c r="E227">
        <f>IF(B227="","",IFERROR(INDEX(tblMaterial[Meldebestand],MATCH(B227,tblMaterial[SAP],0)),"?"))</f>
        <v/>
      </c>
      <c r="F227">
        <f>IF(OR(B227="",NOT(ISNUMBER(D227))),"",IF(D227&lt;E227,"JA",""))</f>
        <v/>
      </c>
    </row>
    <row r="228">
      <c r="A228">
        <f>IFERROR(INDEX(tblStellplatz[Stellplatz],ROW()-1),"")</f>
        <v/>
      </c>
      <c r="B228">
        <f>IFERROR(INDEX(tblStellplatz[SAP],ROW()-1),"")</f>
        <v/>
      </c>
      <c r="C228">
        <f>IF(B228="","",IFERROR(INDEX(tblMaterial[Bezeichnung],MATCH(B228,tblMaterial[SAP],0)),"?"))</f>
        <v/>
      </c>
      <c r="D228">
        <f>IF(B228="","",IFERROR(INDEX(tblMaterial[Lagerstand],MATCH(B228,tblMaterial[SAP],0)),"?"))</f>
        <v/>
      </c>
      <c r="E228">
        <f>IF(B228="","",IFERROR(INDEX(tblMaterial[Meldebestand],MATCH(B228,tblMaterial[SAP],0)),"?"))</f>
        <v/>
      </c>
      <c r="F228">
        <f>IF(OR(B228="",NOT(ISNUMBER(D228))),"",IF(D228&lt;E228,"JA",""))</f>
        <v/>
      </c>
    </row>
    <row r="229">
      <c r="A229">
        <f>IFERROR(INDEX(tblStellplatz[Stellplatz],ROW()-1),"")</f>
        <v/>
      </c>
      <c r="B229">
        <f>IFERROR(INDEX(tblStellplatz[SAP],ROW()-1),"")</f>
        <v/>
      </c>
      <c r="C229">
        <f>IF(B229="","",IFERROR(INDEX(tblMaterial[Bezeichnung],MATCH(B229,tblMaterial[SAP],0)),"?"))</f>
        <v/>
      </c>
      <c r="D229">
        <f>IF(B229="","",IFERROR(INDEX(tblMaterial[Lagerstand],MATCH(B229,tblMaterial[SAP],0)),"?"))</f>
        <v/>
      </c>
      <c r="E229">
        <f>IF(B229="","",IFERROR(INDEX(tblMaterial[Meldebestand],MATCH(B229,tblMaterial[SAP],0)),"?"))</f>
        <v/>
      </c>
      <c r="F229">
        <f>IF(OR(B229="",NOT(ISNUMBER(D229))),"",IF(D229&lt;E229,"JA",""))</f>
        <v/>
      </c>
    </row>
    <row r="230">
      <c r="A230">
        <f>IFERROR(INDEX(tblStellplatz[Stellplatz],ROW()-1),"")</f>
        <v/>
      </c>
      <c r="B230">
        <f>IFERROR(INDEX(tblStellplatz[SAP],ROW()-1),"")</f>
        <v/>
      </c>
      <c r="C230">
        <f>IF(B230="","",IFERROR(INDEX(tblMaterial[Bezeichnung],MATCH(B230,tblMaterial[SAP],0)),"?"))</f>
        <v/>
      </c>
      <c r="D230">
        <f>IF(B230="","",IFERROR(INDEX(tblMaterial[Lagerstand],MATCH(B230,tblMaterial[SAP],0)),"?"))</f>
        <v/>
      </c>
      <c r="E230">
        <f>IF(B230="","",IFERROR(INDEX(tblMaterial[Meldebestand],MATCH(B230,tblMaterial[SAP],0)),"?"))</f>
        <v/>
      </c>
      <c r="F230">
        <f>IF(OR(B230="",NOT(ISNUMBER(D230))),"",IF(D230&lt;E230,"JA",""))</f>
        <v/>
      </c>
    </row>
    <row r="231">
      <c r="A231">
        <f>IFERROR(INDEX(tblStellplatz[Stellplatz],ROW()-1),"")</f>
        <v/>
      </c>
      <c r="B231">
        <f>IFERROR(INDEX(tblStellplatz[SAP],ROW()-1),"")</f>
        <v/>
      </c>
      <c r="C231">
        <f>IF(B231="","",IFERROR(INDEX(tblMaterial[Bezeichnung],MATCH(B231,tblMaterial[SAP],0)),"?"))</f>
        <v/>
      </c>
      <c r="D231">
        <f>IF(B231="","",IFERROR(INDEX(tblMaterial[Lagerstand],MATCH(B231,tblMaterial[SAP],0)),"?"))</f>
        <v/>
      </c>
      <c r="E231">
        <f>IF(B231="","",IFERROR(INDEX(tblMaterial[Meldebestand],MATCH(B231,tblMaterial[SAP],0)),"?"))</f>
        <v/>
      </c>
      <c r="F231">
        <f>IF(OR(B231="",NOT(ISNUMBER(D231))),"",IF(D231&lt;E231,"JA",""))</f>
        <v/>
      </c>
    </row>
    <row r="232">
      <c r="A232">
        <f>IFERROR(INDEX(tblStellplatz[Stellplatz],ROW()-1),"")</f>
        <v/>
      </c>
      <c r="B232">
        <f>IFERROR(INDEX(tblStellplatz[SAP],ROW()-1),"")</f>
        <v/>
      </c>
      <c r="C232">
        <f>IF(B232="","",IFERROR(INDEX(tblMaterial[Bezeichnung],MATCH(B232,tblMaterial[SAP],0)),"?"))</f>
        <v/>
      </c>
      <c r="D232">
        <f>IF(B232="","",IFERROR(INDEX(tblMaterial[Lagerstand],MATCH(B232,tblMaterial[SAP],0)),"?"))</f>
        <v/>
      </c>
      <c r="E232">
        <f>IF(B232="","",IFERROR(INDEX(tblMaterial[Meldebestand],MATCH(B232,tblMaterial[SAP],0)),"?"))</f>
        <v/>
      </c>
      <c r="F232">
        <f>IF(OR(B232="",NOT(ISNUMBER(D232))),"",IF(D232&lt;E232,"JA",""))</f>
        <v/>
      </c>
    </row>
    <row r="233">
      <c r="A233">
        <f>IFERROR(INDEX(tblStellplatz[Stellplatz],ROW()-1),"")</f>
        <v/>
      </c>
      <c r="B233">
        <f>IFERROR(INDEX(tblStellplatz[SAP],ROW()-1),"")</f>
        <v/>
      </c>
      <c r="C233">
        <f>IF(B233="","",IFERROR(INDEX(tblMaterial[Bezeichnung],MATCH(B233,tblMaterial[SAP],0)),"?"))</f>
        <v/>
      </c>
      <c r="D233">
        <f>IF(B233="","",IFERROR(INDEX(tblMaterial[Lagerstand],MATCH(B233,tblMaterial[SAP],0)),"?"))</f>
        <v/>
      </c>
      <c r="E233">
        <f>IF(B233="","",IFERROR(INDEX(tblMaterial[Meldebestand],MATCH(B233,tblMaterial[SAP],0)),"?"))</f>
        <v/>
      </c>
      <c r="F233">
        <f>IF(OR(B233="",NOT(ISNUMBER(D233))),"",IF(D233&lt;E233,"JA",""))</f>
        <v/>
      </c>
    </row>
    <row r="234">
      <c r="A234">
        <f>IFERROR(INDEX(tblStellplatz[Stellplatz],ROW()-1),"")</f>
        <v/>
      </c>
      <c r="B234">
        <f>IFERROR(INDEX(tblStellplatz[SAP],ROW()-1),"")</f>
        <v/>
      </c>
      <c r="C234">
        <f>IF(B234="","",IFERROR(INDEX(tblMaterial[Bezeichnung],MATCH(B234,tblMaterial[SAP],0)),"?"))</f>
        <v/>
      </c>
      <c r="D234">
        <f>IF(B234="","",IFERROR(INDEX(tblMaterial[Lagerstand],MATCH(B234,tblMaterial[SAP],0)),"?"))</f>
        <v/>
      </c>
      <c r="E234">
        <f>IF(B234="","",IFERROR(INDEX(tblMaterial[Meldebestand],MATCH(B234,tblMaterial[SAP],0)),"?"))</f>
        <v/>
      </c>
      <c r="F234">
        <f>IF(OR(B234="",NOT(ISNUMBER(D234))),"",IF(D234&lt;E234,"JA",""))</f>
        <v/>
      </c>
    </row>
    <row r="235">
      <c r="A235">
        <f>IFERROR(INDEX(tblStellplatz[Stellplatz],ROW()-1),"")</f>
        <v/>
      </c>
      <c r="B235">
        <f>IFERROR(INDEX(tblStellplatz[SAP],ROW()-1),"")</f>
        <v/>
      </c>
      <c r="C235">
        <f>IF(B235="","",IFERROR(INDEX(tblMaterial[Bezeichnung],MATCH(B235,tblMaterial[SAP],0)),"?"))</f>
        <v/>
      </c>
      <c r="D235">
        <f>IF(B235="","",IFERROR(INDEX(tblMaterial[Lagerstand],MATCH(B235,tblMaterial[SAP],0)),"?"))</f>
        <v/>
      </c>
      <c r="E235">
        <f>IF(B235="","",IFERROR(INDEX(tblMaterial[Meldebestand],MATCH(B235,tblMaterial[SAP],0)),"?"))</f>
        <v/>
      </c>
      <c r="F235">
        <f>IF(OR(B235="",NOT(ISNUMBER(D235))),"",IF(D235&lt;E235,"JA",""))</f>
        <v/>
      </c>
    </row>
    <row r="236">
      <c r="A236">
        <f>IFERROR(INDEX(tblStellplatz[Stellplatz],ROW()-1),"")</f>
        <v/>
      </c>
      <c r="B236">
        <f>IFERROR(INDEX(tblStellplatz[SAP],ROW()-1),"")</f>
        <v/>
      </c>
      <c r="C236">
        <f>IF(B236="","",IFERROR(INDEX(tblMaterial[Bezeichnung],MATCH(B236,tblMaterial[SAP],0)),"?"))</f>
        <v/>
      </c>
      <c r="D236">
        <f>IF(B236="","",IFERROR(INDEX(tblMaterial[Lagerstand],MATCH(B236,tblMaterial[SAP],0)),"?"))</f>
        <v/>
      </c>
      <c r="E236">
        <f>IF(B236="","",IFERROR(INDEX(tblMaterial[Meldebestand],MATCH(B236,tblMaterial[SAP],0)),"?"))</f>
        <v/>
      </c>
      <c r="F236">
        <f>IF(OR(B236="",NOT(ISNUMBER(D236))),"",IF(D236&lt;E236,"JA",""))</f>
        <v/>
      </c>
    </row>
    <row r="237">
      <c r="A237">
        <f>IFERROR(INDEX(tblStellplatz[Stellplatz],ROW()-1),"")</f>
        <v/>
      </c>
      <c r="B237">
        <f>IFERROR(INDEX(tblStellplatz[SAP],ROW()-1),"")</f>
        <v/>
      </c>
      <c r="C237">
        <f>IF(B237="","",IFERROR(INDEX(tblMaterial[Bezeichnung],MATCH(B237,tblMaterial[SAP],0)),"?"))</f>
        <v/>
      </c>
      <c r="D237">
        <f>IF(B237="","",IFERROR(INDEX(tblMaterial[Lagerstand],MATCH(B237,tblMaterial[SAP],0)),"?"))</f>
        <v/>
      </c>
      <c r="E237">
        <f>IF(B237="","",IFERROR(INDEX(tblMaterial[Meldebestand],MATCH(B237,tblMaterial[SAP],0)),"?"))</f>
        <v/>
      </c>
      <c r="F237">
        <f>IF(OR(B237="",NOT(ISNUMBER(D237))),"",IF(D237&lt;E237,"JA",""))</f>
        <v/>
      </c>
    </row>
    <row r="238">
      <c r="A238">
        <f>IFERROR(INDEX(tblStellplatz[Stellplatz],ROW()-1),"")</f>
        <v/>
      </c>
      <c r="B238">
        <f>IFERROR(INDEX(tblStellplatz[SAP],ROW()-1),"")</f>
        <v/>
      </c>
      <c r="C238">
        <f>IF(B238="","",IFERROR(INDEX(tblMaterial[Bezeichnung],MATCH(B238,tblMaterial[SAP],0)),"?"))</f>
        <v/>
      </c>
      <c r="D238">
        <f>IF(B238="","",IFERROR(INDEX(tblMaterial[Lagerstand],MATCH(B238,tblMaterial[SAP],0)),"?"))</f>
        <v/>
      </c>
      <c r="E238">
        <f>IF(B238="","",IFERROR(INDEX(tblMaterial[Meldebestand],MATCH(B238,tblMaterial[SAP],0)),"?"))</f>
        <v/>
      </c>
      <c r="F238">
        <f>IF(OR(B238="",NOT(ISNUMBER(D238))),"",IF(D238&lt;E238,"JA",""))</f>
        <v/>
      </c>
    </row>
    <row r="239">
      <c r="A239">
        <f>IFERROR(INDEX(tblStellplatz[Stellplatz],ROW()-1),"")</f>
        <v/>
      </c>
      <c r="B239">
        <f>IFERROR(INDEX(tblStellplatz[SAP],ROW()-1),"")</f>
        <v/>
      </c>
      <c r="C239">
        <f>IF(B239="","",IFERROR(INDEX(tblMaterial[Bezeichnung],MATCH(B239,tblMaterial[SAP],0)),"?"))</f>
        <v/>
      </c>
      <c r="D239">
        <f>IF(B239="","",IFERROR(INDEX(tblMaterial[Lagerstand],MATCH(B239,tblMaterial[SAP],0)),"?"))</f>
        <v/>
      </c>
      <c r="E239">
        <f>IF(B239="","",IFERROR(INDEX(tblMaterial[Meldebestand],MATCH(B239,tblMaterial[SAP],0)),"?"))</f>
        <v/>
      </c>
      <c r="F239">
        <f>IF(OR(B239="",NOT(ISNUMBER(D239))),"",IF(D239&lt;E239,"JA",""))</f>
        <v/>
      </c>
    </row>
    <row r="240">
      <c r="A240">
        <f>IFERROR(INDEX(tblStellplatz[Stellplatz],ROW()-1),"")</f>
        <v/>
      </c>
      <c r="B240">
        <f>IFERROR(INDEX(tblStellplatz[SAP],ROW()-1),"")</f>
        <v/>
      </c>
      <c r="C240">
        <f>IF(B240="","",IFERROR(INDEX(tblMaterial[Bezeichnung],MATCH(B240,tblMaterial[SAP],0)),"?"))</f>
        <v/>
      </c>
      <c r="D240">
        <f>IF(B240="","",IFERROR(INDEX(tblMaterial[Lagerstand],MATCH(B240,tblMaterial[SAP],0)),"?"))</f>
        <v/>
      </c>
      <c r="E240">
        <f>IF(B240="","",IFERROR(INDEX(tblMaterial[Meldebestand],MATCH(B240,tblMaterial[SAP],0)),"?"))</f>
        <v/>
      </c>
      <c r="F240">
        <f>IF(OR(B240="",NOT(ISNUMBER(D240))),"",IF(D240&lt;E240,"JA",""))</f>
        <v/>
      </c>
    </row>
    <row r="241">
      <c r="A241">
        <f>IFERROR(INDEX(tblStellplatz[Stellplatz],ROW()-1),"")</f>
        <v/>
      </c>
      <c r="B241">
        <f>IFERROR(INDEX(tblStellplatz[SAP],ROW()-1),"")</f>
        <v/>
      </c>
      <c r="C241">
        <f>IF(B241="","",IFERROR(INDEX(tblMaterial[Bezeichnung],MATCH(B241,tblMaterial[SAP],0)),"?"))</f>
        <v/>
      </c>
      <c r="D241">
        <f>IF(B241="","",IFERROR(INDEX(tblMaterial[Lagerstand],MATCH(B241,tblMaterial[SAP],0)),"?"))</f>
        <v/>
      </c>
      <c r="E241">
        <f>IF(B241="","",IFERROR(INDEX(tblMaterial[Meldebestand],MATCH(B241,tblMaterial[SAP],0)),"?"))</f>
        <v/>
      </c>
      <c r="F241">
        <f>IF(OR(B241="",NOT(ISNUMBER(D241))),"",IF(D241&lt;E241,"JA",""))</f>
        <v/>
      </c>
    </row>
    <row r="242">
      <c r="A242">
        <f>IFERROR(INDEX(tblStellplatz[Stellplatz],ROW()-1),"")</f>
        <v/>
      </c>
      <c r="B242">
        <f>IFERROR(INDEX(tblStellplatz[SAP],ROW()-1),"")</f>
        <v/>
      </c>
      <c r="C242">
        <f>IF(B242="","",IFERROR(INDEX(tblMaterial[Bezeichnung],MATCH(B242,tblMaterial[SAP],0)),"?"))</f>
        <v/>
      </c>
      <c r="D242">
        <f>IF(B242="","",IFERROR(INDEX(tblMaterial[Lagerstand],MATCH(B242,tblMaterial[SAP],0)),"?"))</f>
        <v/>
      </c>
      <c r="E242">
        <f>IF(B242="","",IFERROR(INDEX(tblMaterial[Meldebestand],MATCH(B242,tblMaterial[SAP],0)),"?"))</f>
        <v/>
      </c>
      <c r="F242">
        <f>IF(OR(B242="",NOT(ISNUMBER(D242))),"",IF(D242&lt;E242,"JA",""))</f>
        <v/>
      </c>
    </row>
    <row r="243">
      <c r="A243">
        <f>IFERROR(INDEX(tblStellplatz[Stellplatz],ROW()-1),"")</f>
        <v/>
      </c>
      <c r="B243">
        <f>IFERROR(INDEX(tblStellplatz[SAP],ROW()-1),"")</f>
        <v/>
      </c>
      <c r="C243">
        <f>IF(B243="","",IFERROR(INDEX(tblMaterial[Bezeichnung],MATCH(B243,tblMaterial[SAP],0)),"?"))</f>
        <v/>
      </c>
      <c r="D243">
        <f>IF(B243="","",IFERROR(INDEX(tblMaterial[Lagerstand],MATCH(B243,tblMaterial[SAP],0)),"?"))</f>
        <v/>
      </c>
      <c r="E243">
        <f>IF(B243="","",IFERROR(INDEX(tblMaterial[Meldebestand],MATCH(B243,tblMaterial[SAP],0)),"?"))</f>
        <v/>
      </c>
      <c r="F243">
        <f>IF(OR(B243="",NOT(ISNUMBER(D243))),"",IF(D243&lt;E243,"JA",""))</f>
        <v/>
      </c>
    </row>
    <row r="244">
      <c r="A244">
        <f>IFERROR(INDEX(tblStellplatz[Stellplatz],ROW()-1),"")</f>
        <v/>
      </c>
      <c r="B244">
        <f>IFERROR(INDEX(tblStellplatz[SAP],ROW()-1),"")</f>
        <v/>
      </c>
      <c r="C244">
        <f>IF(B244="","",IFERROR(INDEX(tblMaterial[Bezeichnung],MATCH(B244,tblMaterial[SAP],0)),"?"))</f>
        <v/>
      </c>
      <c r="D244">
        <f>IF(B244="","",IFERROR(INDEX(tblMaterial[Lagerstand],MATCH(B244,tblMaterial[SAP],0)),"?"))</f>
        <v/>
      </c>
      <c r="E244">
        <f>IF(B244="","",IFERROR(INDEX(tblMaterial[Meldebestand],MATCH(B244,tblMaterial[SAP],0)),"?"))</f>
        <v/>
      </c>
      <c r="F244">
        <f>IF(OR(B244="",NOT(ISNUMBER(D244))),"",IF(D244&lt;E244,"JA",""))</f>
        <v/>
      </c>
    </row>
    <row r="245">
      <c r="A245">
        <f>IFERROR(INDEX(tblStellplatz[Stellplatz],ROW()-1),"")</f>
        <v/>
      </c>
      <c r="B245">
        <f>IFERROR(INDEX(tblStellplatz[SAP],ROW()-1),"")</f>
        <v/>
      </c>
      <c r="C245">
        <f>IF(B245="","",IFERROR(INDEX(tblMaterial[Bezeichnung],MATCH(B245,tblMaterial[SAP],0)),"?"))</f>
        <v/>
      </c>
      <c r="D245">
        <f>IF(B245="","",IFERROR(INDEX(tblMaterial[Lagerstand],MATCH(B245,tblMaterial[SAP],0)),"?"))</f>
        <v/>
      </c>
      <c r="E245">
        <f>IF(B245="","",IFERROR(INDEX(tblMaterial[Meldebestand],MATCH(B245,tblMaterial[SAP],0)),"?"))</f>
        <v/>
      </c>
      <c r="F245">
        <f>IF(OR(B245="",NOT(ISNUMBER(D245))),"",IF(D245&lt;E245,"JA",""))</f>
        <v/>
      </c>
    </row>
    <row r="246">
      <c r="A246">
        <f>IFERROR(INDEX(tblStellplatz[Stellplatz],ROW()-1),"")</f>
        <v/>
      </c>
      <c r="B246">
        <f>IFERROR(INDEX(tblStellplatz[SAP],ROW()-1),"")</f>
        <v/>
      </c>
      <c r="C246">
        <f>IF(B246="","",IFERROR(INDEX(tblMaterial[Bezeichnung],MATCH(B246,tblMaterial[SAP],0)),"?"))</f>
        <v/>
      </c>
      <c r="D246">
        <f>IF(B246="","",IFERROR(INDEX(tblMaterial[Lagerstand],MATCH(B246,tblMaterial[SAP],0)),"?"))</f>
        <v/>
      </c>
      <c r="E246">
        <f>IF(B246="","",IFERROR(INDEX(tblMaterial[Meldebestand],MATCH(B246,tblMaterial[SAP],0)),"?"))</f>
        <v/>
      </c>
      <c r="F246">
        <f>IF(OR(B246="",NOT(ISNUMBER(D246))),"",IF(D246&lt;E246,"JA",""))</f>
        <v/>
      </c>
    </row>
    <row r="247">
      <c r="A247">
        <f>IFERROR(INDEX(tblStellplatz[Stellplatz],ROW()-1),"")</f>
        <v/>
      </c>
      <c r="B247">
        <f>IFERROR(INDEX(tblStellplatz[SAP],ROW()-1),"")</f>
        <v/>
      </c>
      <c r="C247">
        <f>IF(B247="","",IFERROR(INDEX(tblMaterial[Bezeichnung],MATCH(B247,tblMaterial[SAP],0)),"?"))</f>
        <v/>
      </c>
      <c r="D247">
        <f>IF(B247="","",IFERROR(INDEX(tblMaterial[Lagerstand],MATCH(B247,tblMaterial[SAP],0)),"?"))</f>
        <v/>
      </c>
      <c r="E247">
        <f>IF(B247="","",IFERROR(INDEX(tblMaterial[Meldebestand],MATCH(B247,tblMaterial[SAP],0)),"?"))</f>
        <v/>
      </c>
      <c r="F247">
        <f>IF(OR(B247="",NOT(ISNUMBER(D247))),"",IF(D247&lt;E247,"JA",""))</f>
        <v/>
      </c>
    </row>
    <row r="248">
      <c r="A248">
        <f>IFERROR(INDEX(tblStellplatz[Stellplatz],ROW()-1),"")</f>
        <v/>
      </c>
      <c r="B248">
        <f>IFERROR(INDEX(tblStellplatz[SAP],ROW()-1),"")</f>
        <v/>
      </c>
      <c r="C248">
        <f>IF(B248="","",IFERROR(INDEX(tblMaterial[Bezeichnung],MATCH(B248,tblMaterial[SAP],0)),"?"))</f>
        <v/>
      </c>
      <c r="D248">
        <f>IF(B248="","",IFERROR(INDEX(tblMaterial[Lagerstand],MATCH(B248,tblMaterial[SAP],0)),"?"))</f>
        <v/>
      </c>
      <c r="E248">
        <f>IF(B248="","",IFERROR(INDEX(tblMaterial[Meldebestand],MATCH(B248,tblMaterial[SAP],0)),"?"))</f>
        <v/>
      </c>
      <c r="F248">
        <f>IF(OR(B248="",NOT(ISNUMBER(D248))),"",IF(D248&lt;E248,"JA",""))</f>
        <v/>
      </c>
    </row>
    <row r="249">
      <c r="A249">
        <f>IFERROR(INDEX(tblStellplatz[Stellplatz],ROW()-1),"")</f>
        <v/>
      </c>
      <c r="B249">
        <f>IFERROR(INDEX(tblStellplatz[SAP],ROW()-1),"")</f>
        <v/>
      </c>
      <c r="C249">
        <f>IF(B249="","",IFERROR(INDEX(tblMaterial[Bezeichnung],MATCH(B249,tblMaterial[SAP],0)),"?"))</f>
        <v/>
      </c>
      <c r="D249">
        <f>IF(B249="","",IFERROR(INDEX(tblMaterial[Lagerstand],MATCH(B249,tblMaterial[SAP],0)),"?"))</f>
        <v/>
      </c>
      <c r="E249">
        <f>IF(B249="","",IFERROR(INDEX(tblMaterial[Meldebestand],MATCH(B249,tblMaterial[SAP],0)),"?"))</f>
        <v/>
      </c>
      <c r="F249">
        <f>IF(OR(B249="",NOT(ISNUMBER(D249))),"",IF(D249&lt;E249,"JA",""))</f>
        <v/>
      </c>
    </row>
    <row r="250">
      <c r="A250">
        <f>IFERROR(INDEX(tblStellplatz[Stellplatz],ROW()-1),"")</f>
        <v/>
      </c>
      <c r="B250">
        <f>IFERROR(INDEX(tblStellplatz[SAP],ROW()-1),"")</f>
        <v/>
      </c>
      <c r="C250">
        <f>IF(B250="","",IFERROR(INDEX(tblMaterial[Bezeichnung],MATCH(B250,tblMaterial[SAP],0)),"?"))</f>
        <v/>
      </c>
      <c r="D250">
        <f>IF(B250="","",IFERROR(INDEX(tblMaterial[Lagerstand],MATCH(B250,tblMaterial[SAP],0)),"?"))</f>
        <v/>
      </c>
      <c r="E250">
        <f>IF(B250="","",IFERROR(INDEX(tblMaterial[Meldebestand],MATCH(B250,tblMaterial[SAP],0)),"?"))</f>
        <v/>
      </c>
      <c r="F250">
        <f>IF(OR(B250="",NOT(ISNUMBER(D250))),"",IF(D250&lt;E250,"JA",""))</f>
        <v/>
      </c>
    </row>
    <row r="251">
      <c r="A251">
        <f>IFERROR(INDEX(tblStellplatz[Stellplatz],ROW()-1),"")</f>
        <v/>
      </c>
      <c r="B251">
        <f>IFERROR(INDEX(tblStellplatz[SAP],ROW()-1),"")</f>
        <v/>
      </c>
      <c r="C251">
        <f>IF(B251="","",IFERROR(INDEX(tblMaterial[Bezeichnung],MATCH(B251,tblMaterial[SAP],0)),"?"))</f>
        <v/>
      </c>
      <c r="D251">
        <f>IF(B251="","",IFERROR(INDEX(tblMaterial[Lagerstand],MATCH(B251,tblMaterial[SAP],0)),"?"))</f>
        <v/>
      </c>
      <c r="E251">
        <f>IF(B251="","",IFERROR(INDEX(tblMaterial[Meldebestand],MATCH(B251,tblMaterial[SAP],0)),"?"))</f>
        <v/>
      </c>
      <c r="F251">
        <f>IF(OR(B251="",NOT(ISNUMBER(D251))),"",IF(D251&lt;E251,"JA",""))</f>
        <v/>
      </c>
    </row>
    <row r="252">
      <c r="A252">
        <f>IFERROR(INDEX(tblStellplatz[Stellplatz],ROW()-1),"")</f>
        <v/>
      </c>
      <c r="B252">
        <f>IFERROR(INDEX(tblStellplatz[SAP],ROW()-1),"")</f>
        <v/>
      </c>
      <c r="C252">
        <f>IF(B252="","",IFERROR(INDEX(tblMaterial[Bezeichnung],MATCH(B252,tblMaterial[SAP],0)),"?"))</f>
        <v/>
      </c>
      <c r="D252">
        <f>IF(B252="","",IFERROR(INDEX(tblMaterial[Lagerstand],MATCH(B252,tblMaterial[SAP],0)),"?"))</f>
        <v/>
      </c>
      <c r="E252">
        <f>IF(B252="","",IFERROR(INDEX(tblMaterial[Meldebestand],MATCH(B252,tblMaterial[SAP],0)),"?"))</f>
        <v/>
      </c>
      <c r="F252">
        <f>IF(OR(B252="",NOT(ISNUMBER(D252))),"",IF(D252&lt;E252,"JA",""))</f>
        <v/>
      </c>
    </row>
    <row r="253">
      <c r="A253">
        <f>IFERROR(INDEX(tblStellplatz[Stellplatz],ROW()-1),"")</f>
        <v/>
      </c>
      <c r="B253">
        <f>IFERROR(INDEX(tblStellplatz[SAP],ROW()-1),"")</f>
        <v/>
      </c>
      <c r="C253">
        <f>IF(B253="","",IFERROR(INDEX(tblMaterial[Bezeichnung],MATCH(B253,tblMaterial[SAP],0)),"?"))</f>
        <v/>
      </c>
      <c r="D253">
        <f>IF(B253="","",IFERROR(INDEX(tblMaterial[Lagerstand],MATCH(B253,tblMaterial[SAP],0)),"?"))</f>
        <v/>
      </c>
      <c r="E253">
        <f>IF(B253="","",IFERROR(INDEX(tblMaterial[Meldebestand],MATCH(B253,tblMaterial[SAP],0)),"?"))</f>
        <v/>
      </c>
      <c r="F253">
        <f>IF(OR(B253="",NOT(ISNUMBER(D253))),"",IF(D253&lt;E253,"JA",""))</f>
        <v/>
      </c>
    </row>
    <row r="254">
      <c r="A254">
        <f>IFERROR(INDEX(tblStellplatz[Stellplatz],ROW()-1),"")</f>
        <v/>
      </c>
      <c r="B254">
        <f>IFERROR(INDEX(tblStellplatz[SAP],ROW()-1),"")</f>
        <v/>
      </c>
      <c r="C254">
        <f>IF(B254="","",IFERROR(INDEX(tblMaterial[Bezeichnung],MATCH(B254,tblMaterial[SAP],0)),"?"))</f>
        <v/>
      </c>
      <c r="D254">
        <f>IF(B254="","",IFERROR(INDEX(tblMaterial[Lagerstand],MATCH(B254,tblMaterial[SAP],0)),"?"))</f>
        <v/>
      </c>
      <c r="E254">
        <f>IF(B254="","",IFERROR(INDEX(tblMaterial[Meldebestand],MATCH(B254,tblMaterial[SAP],0)),"?"))</f>
        <v/>
      </c>
      <c r="F254">
        <f>IF(OR(B254="",NOT(ISNUMBER(D254))),"",IF(D254&lt;E254,"JA",""))</f>
        <v/>
      </c>
    </row>
    <row r="255">
      <c r="A255">
        <f>IFERROR(INDEX(tblStellplatz[Stellplatz],ROW()-1),"")</f>
        <v/>
      </c>
      <c r="B255">
        <f>IFERROR(INDEX(tblStellplatz[SAP],ROW()-1),"")</f>
        <v/>
      </c>
      <c r="C255">
        <f>IF(B255="","",IFERROR(INDEX(tblMaterial[Bezeichnung],MATCH(B255,tblMaterial[SAP],0)),"?"))</f>
        <v/>
      </c>
      <c r="D255">
        <f>IF(B255="","",IFERROR(INDEX(tblMaterial[Lagerstand],MATCH(B255,tblMaterial[SAP],0)),"?"))</f>
        <v/>
      </c>
      <c r="E255">
        <f>IF(B255="","",IFERROR(INDEX(tblMaterial[Meldebestand],MATCH(B255,tblMaterial[SAP],0)),"?"))</f>
        <v/>
      </c>
      <c r="F255">
        <f>IF(OR(B255="",NOT(ISNUMBER(D255))),"",IF(D255&lt;E255,"JA",""))</f>
        <v/>
      </c>
    </row>
    <row r="256">
      <c r="A256">
        <f>IFERROR(INDEX(tblStellplatz[Stellplatz],ROW()-1),"")</f>
        <v/>
      </c>
      <c r="B256">
        <f>IFERROR(INDEX(tblStellplatz[SAP],ROW()-1),"")</f>
        <v/>
      </c>
      <c r="C256">
        <f>IF(B256="","",IFERROR(INDEX(tblMaterial[Bezeichnung],MATCH(B256,tblMaterial[SAP],0)),"?"))</f>
        <v/>
      </c>
      <c r="D256">
        <f>IF(B256="","",IFERROR(INDEX(tblMaterial[Lagerstand],MATCH(B256,tblMaterial[SAP],0)),"?"))</f>
        <v/>
      </c>
      <c r="E256">
        <f>IF(B256="","",IFERROR(INDEX(tblMaterial[Meldebestand],MATCH(B256,tblMaterial[SAP],0)),"?"))</f>
        <v/>
      </c>
      <c r="F256">
        <f>IF(OR(B256="",NOT(ISNUMBER(D256))),"",IF(D256&lt;E256,"JA",""))</f>
        <v/>
      </c>
    </row>
    <row r="257">
      <c r="A257">
        <f>IFERROR(INDEX(tblStellplatz[Stellplatz],ROW()-1),"")</f>
        <v/>
      </c>
      <c r="B257">
        <f>IFERROR(INDEX(tblStellplatz[SAP],ROW()-1),"")</f>
        <v/>
      </c>
      <c r="C257">
        <f>IF(B257="","",IFERROR(INDEX(tblMaterial[Bezeichnung],MATCH(B257,tblMaterial[SAP],0)),"?"))</f>
        <v/>
      </c>
      <c r="D257">
        <f>IF(B257="","",IFERROR(INDEX(tblMaterial[Lagerstand],MATCH(B257,tblMaterial[SAP],0)),"?"))</f>
        <v/>
      </c>
      <c r="E257">
        <f>IF(B257="","",IFERROR(INDEX(tblMaterial[Meldebestand],MATCH(B257,tblMaterial[SAP],0)),"?"))</f>
        <v/>
      </c>
      <c r="F257">
        <f>IF(OR(B257="",NOT(ISNUMBER(D257))),"",IF(D257&lt;E257,"JA",""))</f>
        <v/>
      </c>
    </row>
    <row r="258">
      <c r="A258">
        <f>IFERROR(INDEX(tblStellplatz[Stellplatz],ROW()-1),"")</f>
        <v/>
      </c>
      <c r="B258">
        <f>IFERROR(INDEX(tblStellplatz[SAP],ROW()-1),"")</f>
        <v/>
      </c>
      <c r="C258">
        <f>IF(B258="","",IFERROR(INDEX(tblMaterial[Bezeichnung],MATCH(B258,tblMaterial[SAP],0)),"?"))</f>
        <v/>
      </c>
      <c r="D258">
        <f>IF(B258="","",IFERROR(INDEX(tblMaterial[Lagerstand],MATCH(B258,tblMaterial[SAP],0)),"?"))</f>
        <v/>
      </c>
      <c r="E258">
        <f>IF(B258="","",IFERROR(INDEX(tblMaterial[Meldebestand],MATCH(B258,tblMaterial[SAP],0)),"?"))</f>
        <v/>
      </c>
      <c r="F258">
        <f>IF(OR(B258="",NOT(ISNUMBER(D258))),"",IF(D258&lt;E258,"JA",""))</f>
        <v/>
      </c>
    </row>
    <row r="259">
      <c r="A259">
        <f>IFERROR(INDEX(tblStellplatz[Stellplatz],ROW()-1),"")</f>
        <v/>
      </c>
      <c r="B259">
        <f>IFERROR(INDEX(tblStellplatz[SAP],ROW()-1),"")</f>
        <v/>
      </c>
      <c r="C259">
        <f>IF(B259="","",IFERROR(INDEX(tblMaterial[Bezeichnung],MATCH(B259,tblMaterial[SAP],0)),"?"))</f>
        <v/>
      </c>
      <c r="D259">
        <f>IF(B259="","",IFERROR(INDEX(tblMaterial[Lagerstand],MATCH(B259,tblMaterial[SAP],0)),"?"))</f>
        <v/>
      </c>
      <c r="E259">
        <f>IF(B259="","",IFERROR(INDEX(tblMaterial[Meldebestand],MATCH(B259,tblMaterial[SAP],0)),"?"))</f>
        <v/>
      </c>
      <c r="F259">
        <f>IF(OR(B259="",NOT(ISNUMBER(D259))),"",IF(D259&lt;E259,"JA",""))</f>
        <v/>
      </c>
    </row>
    <row r="260">
      <c r="A260">
        <f>IFERROR(INDEX(tblStellplatz[Stellplatz],ROW()-1),"")</f>
        <v/>
      </c>
      <c r="B260">
        <f>IFERROR(INDEX(tblStellplatz[SAP],ROW()-1),"")</f>
        <v/>
      </c>
      <c r="C260">
        <f>IF(B260="","",IFERROR(INDEX(tblMaterial[Bezeichnung],MATCH(B260,tblMaterial[SAP],0)),"?"))</f>
        <v/>
      </c>
      <c r="D260">
        <f>IF(B260="","",IFERROR(INDEX(tblMaterial[Lagerstand],MATCH(B260,tblMaterial[SAP],0)),"?"))</f>
        <v/>
      </c>
      <c r="E260">
        <f>IF(B260="","",IFERROR(INDEX(tblMaterial[Meldebestand],MATCH(B260,tblMaterial[SAP],0)),"?"))</f>
        <v/>
      </c>
      <c r="F260">
        <f>IF(OR(B260="",NOT(ISNUMBER(D260))),"",IF(D260&lt;E260,"JA",""))</f>
        <v/>
      </c>
    </row>
    <row r="261">
      <c r="A261">
        <f>IFERROR(INDEX(tblStellplatz[Stellplatz],ROW()-1),"")</f>
        <v/>
      </c>
      <c r="B261">
        <f>IFERROR(INDEX(tblStellplatz[SAP],ROW()-1),"")</f>
        <v/>
      </c>
      <c r="C261">
        <f>IF(B261="","",IFERROR(INDEX(tblMaterial[Bezeichnung],MATCH(B261,tblMaterial[SAP],0)),"?"))</f>
        <v/>
      </c>
      <c r="D261">
        <f>IF(B261="","",IFERROR(INDEX(tblMaterial[Lagerstand],MATCH(B261,tblMaterial[SAP],0)),"?"))</f>
        <v/>
      </c>
      <c r="E261">
        <f>IF(B261="","",IFERROR(INDEX(tblMaterial[Meldebestand],MATCH(B261,tblMaterial[SAP],0)),"?"))</f>
        <v/>
      </c>
      <c r="F261">
        <f>IF(OR(B261="",NOT(ISNUMBER(D261))),"",IF(D261&lt;E261,"JA",""))</f>
        <v/>
      </c>
    </row>
    <row r="262">
      <c r="A262">
        <f>IFERROR(INDEX(tblStellplatz[Stellplatz],ROW()-1),"")</f>
        <v/>
      </c>
      <c r="B262">
        <f>IFERROR(INDEX(tblStellplatz[SAP],ROW()-1),"")</f>
        <v/>
      </c>
      <c r="C262">
        <f>IF(B262="","",IFERROR(INDEX(tblMaterial[Bezeichnung],MATCH(B262,tblMaterial[SAP],0)),"?"))</f>
        <v/>
      </c>
      <c r="D262">
        <f>IF(B262="","",IFERROR(INDEX(tblMaterial[Lagerstand],MATCH(B262,tblMaterial[SAP],0)),"?"))</f>
        <v/>
      </c>
      <c r="E262">
        <f>IF(B262="","",IFERROR(INDEX(tblMaterial[Meldebestand],MATCH(B262,tblMaterial[SAP],0)),"?"))</f>
        <v/>
      </c>
      <c r="F262">
        <f>IF(OR(B262="",NOT(ISNUMBER(D262))),"",IF(D262&lt;E262,"JA",""))</f>
        <v/>
      </c>
    </row>
    <row r="263">
      <c r="A263">
        <f>IFERROR(INDEX(tblStellplatz[Stellplatz],ROW()-1),"")</f>
        <v/>
      </c>
      <c r="B263">
        <f>IFERROR(INDEX(tblStellplatz[SAP],ROW()-1),"")</f>
        <v/>
      </c>
      <c r="C263">
        <f>IF(B263="","",IFERROR(INDEX(tblMaterial[Bezeichnung],MATCH(B263,tblMaterial[SAP],0)),"?"))</f>
        <v/>
      </c>
      <c r="D263">
        <f>IF(B263="","",IFERROR(INDEX(tblMaterial[Lagerstand],MATCH(B263,tblMaterial[SAP],0)),"?"))</f>
        <v/>
      </c>
      <c r="E263">
        <f>IF(B263="","",IFERROR(INDEX(tblMaterial[Meldebestand],MATCH(B263,tblMaterial[SAP],0)),"?"))</f>
        <v/>
      </c>
      <c r="F263">
        <f>IF(OR(B263="",NOT(ISNUMBER(D263))),"",IF(D263&lt;E263,"JA",""))</f>
        <v/>
      </c>
    </row>
    <row r="264">
      <c r="A264">
        <f>IFERROR(INDEX(tblStellplatz[Stellplatz],ROW()-1),"")</f>
        <v/>
      </c>
      <c r="B264">
        <f>IFERROR(INDEX(tblStellplatz[SAP],ROW()-1),"")</f>
        <v/>
      </c>
      <c r="C264">
        <f>IF(B264="","",IFERROR(INDEX(tblMaterial[Bezeichnung],MATCH(B264,tblMaterial[SAP],0)),"?"))</f>
        <v/>
      </c>
      <c r="D264">
        <f>IF(B264="","",IFERROR(INDEX(tblMaterial[Lagerstand],MATCH(B264,tblMaterial[SAP],0)),"?"))</f>
        <v/>
      </c>
      <c r="E264">
        <f>IF(B264="","",IFERROR(INDEX(tblMaterial[Meldebestand],MATCH(B264,tblMaterial[SAP],0)),"?"))</f>
        <v/>
      </c>
      <c r="F264">
        <f>IF(OR(B264="",NOT(ISNUMBER(D264))),"",IF(D264&lt;E264,"JA",""))</f>
        <v/>
      </c>
    </row>
    <row r="265">
      <c r="A265">
        <f>IFERROR(INDEX(tblStellplatz[Stellplatz],ROW()-1),"")</f>
        <v/>
      </c>
      <c r="B265">
        <f>IFERROR(INDEX(tblStellplatz[SAP],ROW()-1),"")</f>
        <v/>
      </c>
      <c r="C265">
        <f>IF(B265="","",IFERROR(INDEX(tblMaterial[Bezeichnung],MATCH(B265,tblMaterial[SAP],0)),"?"))</f>
        <v/>
      </c>
      <c r="D265">
        <f>IF(B265="","",IFERROR(INDEX(tblMaterial[Lagerstand],MATCH(B265,tblMaterial[SAP],0)),"?"))</f>
        <v/>
      </c>
      <c r="E265">
        <f>IF(B265="","",IFERROR(INDEX(tblMaterial[Meldebestand],MATCH(B265,tblMaterial[SAP],0)),"?"))</f>
        <v/>
      </c>
      <c r="F265">
        <f>IF(OR(B265="",NOT(ISNUMBER(D265))),"",IF(D265&lt;E265,"JA",""))</f>
        <v/>
      </c>
    </row>
    <row r="266">
      <c r="A266">
        <f>IFERROR(INDEX(tblStellplatz[Stellplatz],ROW()-1),"")</f>
        <v/>
      </c>
      <c r="B266">
        <f>IFERROR(INDEX(tblStellplatz[SAP],ROW()-1),"")</f>
        <v/>
      </c>
      <c r="C266">
        <f>IF(B266="","",IFERROR(INDEX(tblMaterial[Bezeichnung],MATCH(B266,tblMaterial[SAP],0)),"?"))</f>
        <v/>
      </c>
      <c r="D266">
        <f>IF(B266="","",IFERROR(INDEX(tblMaterial[Lagerstand],MATCH(B266,tblMaterial[SAP],0)),"?"))</f>
        <v/>
      </c>
      <c r="E266">
        <f>IF(B266="","",IFERROR(INDEX(tblMaterial[Meldebestand],MATCH(B266,tblMaterial[SAP],0)),"?"))</f>
        <v/>
      </c>
      <c r="F266">
        <f>IF(OR(B266="",NOT(ISNUMBER(D266))),"",IF(D266&lt;E266,"JA",""))</f>
        <v/>
      </c>
    </row>
    <row r="267">
      <c r="A267">
        <f>IFERROR(INDEX(tblStellplatz[Stellplatz],ROW()-1),"")</f>
        <v/>
      </c>
      <c r="B267">
        <f>IFERROR(INDEX(tblStellplatz[SAP],ROW()-1),"")</f>
        <v/>
      </c>
      <c r="C267">
        <f>IF(B267="","",IFERROR(INDEX(tblMaterial[Bezeichnung],MATCH(B267,tblMaterial[SAP],0)),"?"))</f>
        <v/>
      </c>
      <c r="D267">
        <f>IF(B267="","",IFERROR(INDEX(tblMaterial[Lagerstand],MATCH(B267,tblMaterial[SAP],0)),"?"))</f>
        <v/>
      </c>
      <c r="E267">
        <f>IF(B267="","",IFERROR(INDEX(tblMaterial[Meldebestand],MATCH(B267,tblMaterial[SAP],0)),"?"))</f>
        <v/>
      </c>
      <c r="F267">
        <f>IF(OR(B267="",NOT(ISNUMBER(D267))),"",IF(D267&lt;E267,"JA",""))</f>
        <v/>
      </c>
    </row>
    <row r="268">
      <c r="A268">
        <f>IFERROR(INDEX(tblStellplatz[Stellplatz],ROW()-1),"")</f>
        <v/>
      </c>
      <c r="B268">
        <f>IFERROR(INDEX(tblStellplatz[SAP],ROW()-1),"")</f>
        <v/>
      </c>
      <c r="C268">
        <f>IF(B268="","",IFERROR(INDEX(tblMaterial[Bezeichnung],MATCH(B268,tblMaterial[SAP],0)),"?"))</f>
        <v/>
      </c>
      <c r="D268">
        <f>IF(B268="","",IFERROR(INDEX(tblMaterial[Lagerstand],MATCH(B268,tblMaterial[SAP],0)),"?"))</f>
        <v/>
      </c>
      <c r="E268">
        <f>IF(B268="","",IFERROR(INDEX(tblMaterial[Meldebestand],MATCH(B268,tblMaterial[SAP],0)),"?"))</f>
        <v/>
      </c>
      <c r="F268">
        <f>IF(OR(B268="",NOT(ISNUMBER(D268))),"",IF(D268&lt;E268,"JA",""))</f>
        <v/>
      </c>
    </row>
    <row r="269">
      <c r="A269">
        <f>IFERROR(INDEX(tblStellplatz[Stellplatz],ROW()-1),"")</f>
        <v/>
      </c>
      <c r="B269">
        <f>IFERROR(INDEX(tblStellplatz[SAP],ROW()-1),"")</f>
        <v/>
      </c>
      <c r="C269">
        <f>IF(B269="","",IFERROR(INDEX(tblMaterial[Bezeichnung],MATCH(B269,tblMaterial[SAP],0)),"?"))</f>
        <v/>
      </c>
      <c r="D269">
        <f>IF(B269="","",IFERROR(INDEX(tblMaterial[Lagerstand],MATCH(B269,tblMaterial[SAP],0)),"?"))</f>
        <v/>
      </c>
      <c r="E269">
        <f>IF(B269="","",IFERROR(INDEX(tblMaterial[Meldebestand],MATCH(B269,tblMaterial[SAP],0)),"?"))</f>
        <v/>
      </c>
      <c r="F269">
        <f>IF(OR(B269="",NOT(ISNUMBER(D269))),"",IF(D269&lt;E269,"JA",""))</f>
        <v/>
      </c>
    </row>
    <row r="270">
      <c r="A270">
        <f>IFERROR(INDEX(tblStellplatz[Stellplatz],ROW()-1),"")</f>
        <v/>
      </c>
      <c r="B270">
        <f>IFERROR(INDEX(tblStellplatz[SAP],ROW()-1),"")</f>
        <v/>
      </c>
      <c r="C270">
        <f>IF(B270="","",IFERROR(INDEX(tblMaterial[Bezeichnung],MATCH(B270,tblMaterial[SAP],0)),"?"))</f>
        <v/>
      </c>
      <c r="D270">
        <f>IF(B270="","",IFERROR(INDEX(tblMaterial[Lagerstand],MATCH(B270,tblMaterial[SAP],0)),"?"))</f>
        <v/>
      </c>
      <c r="E270">
        <f>IF(B270="","",IFERROR(INDEX(tblMaterial[Meldebestand],MATCH(B270,tblMaterial[SAP],0)),"?"))</f>
        <v/>
      </c>
      <c r="F270">
        <f>IF(OR(B270="",NOT(ISNUMBER(D270))),"",IF(D270&lt;E270,"JA",""))</f>
        <v/>
      </c>
    </row>
    <row r="271">
      <c r="A271">
        <f>IFERROR(INDEX(tblStellplatz[Stellplatz],ROW()-1),"")</f>
        <v/>
      </c>
      <c r="B271">
        <f>IFERROR(INDEX(tblStellplatz[SAP],ROW()-1),"")</f>
        <v/>
      </c>
      <c r="C271">
        <f>IF(B271="","",IFERROR(INDEX(tblMaterial[Bezeichnung],MATCH(B271,tblMaterial[SAP],0)),"?"))</f>
        <v/>
      </c>
      <c r="D271">
        <f>IF(B271="","",IFERROR(INDEX(tblMaterial[Lagerstand],MATCH(B271,tblMaterial[SAP],0)),"?"))</f>
        <v/>
      </c>
      <c r="E271">
        <f>IF(B271="","",IFERROR(INDEX(tblMaterial[Meldebestand],MATCH(B271,tblMaterial[SAP],0)),"?"))</f>
        <v/>
      </c>
      <c r="F271">
        <f>IF(OR(B271="",NOT(ISNUMBER(D271))),"",IF(D271&lt;E271,"JA",""))</f>
        <v/>
      </c>
    </row>
    <row r="272">
      <c r="A272">
        <f>IFERROR(INDEX(tblStellplatz[Stellplatz],ROW()-1),"")</f>
        <v/>
      </c>
      <c r="B272">
        <f>IFERROR(INDEX(tblStellplatz[SAP],ROW()-1),"")</f>
        <v/>
      </c>
      <c r="C272">
        <f>IF(B272="","",IFERROR(INDEX(tblMaterial[Bezeichnung],MATCH(B272,tblMaterial[SAP],0)),"?"))</f>
        <v/>
      </c>
      <c r="D272">
        <f>IF(B272="","",IFERROR(INDEX(tblMaterial[Lagerstand],MATCH(B272,tblMaterial[SAP],0)),"?"))</f>
        <v/>
      </c>
      <c r="E272">
        <f>IF(B272="","",IFERROR(INDEX(tblMaterial[Meldebestand],MATCH(B272,tblMaterial[SAP],0)),"?"))</f>
        <v/>
      </c>
      <c r="F272">
        <f>IF(OR(B272="",NOT(ISNUMBER(D272))),"",IF(D272&lt;E272,"JA",""))</f>
        <v/>
      </c>
    </row>
    <row r="273">
      <c r="A273">
        <f>IFERROR(INDEX(tblStellplatz[Stellplatz],ROW()-1),"")</f>
        <v/>
      </c>
      <c r="B273">
        <f>IFERROR(INDEX(tblStellplatz[SAP],ROW()-1),"")</f>
        <v/>
      </c>
      <c r="C273">
        <f>IF(B273="","",IFERROR(INDEX(tblMaterial[Bezeichnung],MATCH(B273,tblMaterial[SAP],0)),"?"))</f>
        <v/>
      </c>
      <c r="D273">
        <f>IF(B273="","",IFERROR(INDEX(tblMaterial[Lagerstand],MATCH(B273,tblMaterial[SAP],0)),"?"))</f>
        <v/>
      </c>
      <c r="E273">
        <f>IF(B273="","",IFERROR(INDEX(tblMaterial[Meldebestand],MATCH(B273,tblMaterial[SAP],0)),"?"))</f>
        <v/>
      </c>
      <c r="F273">
        <f>IF(OR(B273="",NOT(ISNUMBER(D273))),"",IF(D273&lt;E273,"JA",""))</f>
        <v/>
      </c>
    </row>
    <row r="274">
      <c r="A274">
        <f>IFERROR(INDEX(tblStellplatz[Stellplatz],ROW()-1),"")</f>
        <v/>
      </c>
      <c r="B274">
        <f>IFERROR(INDEX(tblStellplatz[SAP],ROW()-1),"")</f>
        <v/>
      </c>
      <c r="C274">
        <f>IF(B274="","",IFERROR(INDEX(tblMaterial[Bezeichnung],MATCH(B274,tblMaterial[SAP],0)),"?"))</f>
        <v/>
      </c>
      <c r="D274">
        <f>IF(B274="","",IFERROR(INDEX(tblMaterial[Lagerstand],MATCH(B274,tblMaterial[SAP],0)),"?"))</f>
        <v/>
      </c>
      <c r="E274">
        <f>IF(B274="","",IFERROR(INDEX(tblMaterial[Meldebestand],MATCH(B274,tblMaterial[SAP],0)),"?"))</f>
        <v/>
      </c>
      <c r="F274">
        <f>IF(OR(B274="",NOT(ISNUMBER(D274))),"",IF(D274&lt;E274,"JA",""))</f>
        <v/>
      </c>
    </row>
    <row r="275">
      <c r="A275">
        <f>IFERROR(INDEX(tblStellplatz[Stellplatz],ROW()-1),"")</f>
        <v/>
      </c>
      <c r="B275">
        <f>IFERROR(INDEX(tblStellplatz[SAP],ROW()-1),"")</f>
        <v/>
      </c>
      <c r="C275">
        <f>IF(B275="","",IFERROR(INDEX(tblMaterial[Bezeichnung],MATCH(B275,tblMaterial[SAP],0)),"?"))</f>
        <v/>
      </c>
      <c r="D275">
        <f>IF(B275="","",IFERROR(INDEX(tblMaterial[Lagerstand],MATCH(B275,tblMaterial[SAP],0)),"?"))</f>
        <v/>
      </c>
      <c r="E275">
        <f>IF(B275="","",IFERROR(INDEX(tblMaterial[Meldebestand],MATCH(B275,tblMaterial[SAP],0)),"?"))</f>
        <v/>
      </c>
      <c r="F275">
        <f>IF(OR(B275="",NOT(ISNUMBER(D275))),"",IF(D275&lt;E275,"JA",""))</f>
        <v/>
      </c>
    </row>
    <row r="276">
      <c r="A276">
        <f>IFERROR(INDEX(tblStellplatz[Stellplatz],ROW()-1),"")</f>
        <v/>
      </c>
      <c r="B276">
        <f>IFERROR(INDEX(tblStellplatz[SAP],ROW()-1),"")</f>
        <v/>
      </c>
      <c r="C276">
        <f>IF(B276="","",IFERROR(INDEX(tblMaterial[Bezeichnung],MATCH(B276,tblMaterial[SAP],0)),"?"))</f>
        <v/>
      </c>
      <c r="D276">
        <f>IF(B276="","",IFERROR(INDEX(tblMaterial[Lagerstand],MATCH(B276,tblMaterial[SAP],0)),"?"))</f>
        <v/>
      </c>
      <c r="E276">
        <f>IF(B276="","",IFERROR(INDEX(tblMaterial[Meldebestand],MATCH(B276,tblMaterial[SAP],0)),"?"))</f>
        <v/>
      </c>
      <c r="F276">
        <f>IF(OR(B276="",NOT(ISNUMBER(D276))),"",IF(D276&lt;E276,"JA",""))</f>
        <v/>
      </c>
    </row>
    <row r="277">
      <c r="A277">
        <f>IFERROR(INDEX(tblStellplatz[Stellplatz],ROW()-1),"")</f>
        <v/>
      </c>
      <c r="B277">
        <f>IFERROR(INDEX(tblStellplatz[SAP],ROW()-1),"")</f>
        <v/>
      </c>
      <c r="C277">
        <f>IF(B277="","",IFERROR(INDEX(tblMaterial[Bezeichnung],MATCH(B277,tblMaterial[SAP],0)),"?"))</f>
        <v/>
      </c>
      <c r="D277">
        <f>IF(B277="","",IFERROR(INDEX(tblMaterial[Lagerstand],MATCH(B277,tblMaterial[SAP],0)),"?"))</f>
        <v/>
      </c>
      <c r="E277">
        <f>IF(B277="","",IFERROR(INDEX(tblMaterial[Meldebestand],MATCH(B277,tblMaterial[SAP],0)),"?"))</f>
        <v/>
      </c>
      <c r="F277">
        <f>IF(OR(B277="",NOT(ISNUMBER(D277))),"",IF(D277&lt;E277,"JA",""))</f>
        <v/>
      </c>
    </row>
    <row r="278">
      <c r="A278">
        <f>IFERROR(INDEX(tblStellplatz[Stellplatz],ROW()-1),"")</f>
        <v/>
      </c>
      <c r="B278">
        <f>IFERROR(INDEX(tblStellplatz[SAP],ROW()-1),"")</f>
        <v/>
      </c>
      <c r="C278">
        <f>IF(B278="","",IFERROR(INDEX(tblMaterial[Bezeichnung],MATCH(B278,tblMaterial[SAP],0)),"?"))</f>
        <v/>
      </c>
      <c r="D278">
        <f>IF(B278="","",IFERROR(INDEX(tblMaterial[Lagerstand],MATCH(B278,tblMaterial[SAP],0)),"?"))</f>
        <v/>
      </c>
      <c r="E278">
        <f>IF(B278="","",IFERROR(INDEX(tblMaterial[Meldebestand],MATCH(B278,tblMaterial[SAP],0)),"?"))</f>
        <v/>
      </c>
      <c r="F278">
        <f>IF(OR(B278="",NOT(ISNUMBER(D278))),"",IF(D278&lt;E278,"JA",""))</f>
        <v/>
      </c>
    </row>
    <row r="279">
      <c r="A279">
        <f>IFERROR(INDEX(tblStellplatz[Stellplatz],ROW()-1),"")</f>
        <v/>
      </c>
      <c r="B279">
        <f>IFERROR(INDEX(tblStellplatz[SAP],ROW()-1),"")</f>
        <v/>
      </c>
      <c r="C279">
        <f>IF(B279="","",IFERROR(INDEX(tblMaterial[Bezeichnung],MATCH(B279,tblMaterial[SAP],0)),"?"))</f>
        <v/>
      </c>
      <c r="D279">
        <f>IF(B279="","",IFERROR(INDEX(tblMaterial[Lagerstand],MATCH(B279,tblMaterial[SAP],0)),"?"))</f>
        <v/>
      </c>
      <c r="E279">
        <f>IF(B279="","",IFERROR(INDEX(tblMaterial[Meldebestand],MATCH(B279,tblMaterial[SAP],0)),"?"))</f>
        <v/>
      </c>
      <c r="F279">
        <f>IF(OR(B279="",NOT(ISNUMBER(D279))),"",IF(D279&lt;E279,"JA",""))</f>
        <v/>
      </c>
    </row>
    <row r="280">
      <c r="A280">
        <f>IFERROR(INDEX(tblStellplatz[Stellplatz],ROW()-1),"")</f>
        <v/>
      </c>
      <c r="B280">
        <f>IFERROR(INDEX(tblStellplatz[SAP],ROW()-1),"")</f>
        <v/>
      </c>
      <c r="C280">
        <f>IF(B280="","",IFERROR(INDEX(tblMaterial[Bezeichnung],MATCH(B280,tblMaterial[SAP],0)),"?"))</f>
        <v/>
      </c>
      <c r="D280">
        <f>IF(B280="","",IFERROR(INDEX(tblMaterial[Lagerstand],MATCH(B280,tblMaterial[SAP],0)),"?"))</f>
        <v/>
      </c>
      <c r="E280">
        <f>IF(B280="","",IFERROR(INDEX(tblMaterial[Meldebestand],MATCH(B280,tblMaterial[SAP],0)),"?"))</f>
        <v/>
      </c>
      <c r="F280">
        <f>IF(OR(B280="",NOT(ISNUMBER(D280))),"",IF(D280&lt;E280,"JA",""))</f>
        <v/>
      </c>
    </row>
    <row r="281">
      <c r="A281">
        <f>IFERROR(INDEX(tblStellplatz[Stellplatz],ROW()-1),"")</f>
        <v/>
      </c>
      <c r="B281">
        <f>IFERROR(INDEX(tblStellplatz[SAP],ROW()-1),"")</f>
        <v/>
      </c>
      <c r="C281">
        <f>IF(B281="","",IFERROR(INDEX(tblMaterial[Bezeichnung],MATCH(B281,tblMaterial[SAP],0)),"?"))</f>
        <v/>
      </c>
      <c r="D281">
        <f>IF(B281="","",IFERROR(INDEX(tblMaterial[Lagerstand],MATCH(B281,tblMaterial[SAP],0)),"?"))</f>
        <v/>
      </c>
      <c r="E281">
        <f>IF(B281="","",IFERROR(INDEX(tblMaterial[Meldebestand],MATCH(B281,tblMaterial[SAP],0)),"?"))</f>
        <v/>
      </c>
      <c r="F281">
        <f>IF(OR(B281="",NOT(ISNUMBER(D281))),"",IF(D281&lt;E281,"JA",""))</f>
        <v/>
      </c>
    </row>
    <row r="282">
      <c r="A282">
        <f>IFERROR(INDEX(tblStellplatz[Stellplatz],ROW()-1),"")</f>
        <v/>
      </c>
      <c r="B282">
        <f>IFERROR(INDEX(tblStellplatz[SAP],ROW()-1),"")</f>
        <v/>
      </c>
      <c r="C282">
        <f>IF(B282="","",IFERROR(INDEX(tblMaterial[Bezeichnung],MATCH(B282,tblMaterial[SAP],0)),"?"))</f>
        <v/>
      </c>
      <c r="D282">
        <f>IF(B282="","",IFERROR(INDEX(tblMaterial[Lagerstand],MATCH(B282,tblMaterial[SAP],0)),"?"))</f>
        <v/>
      </c>
      <c r="E282">
        <f>IF(B282="","",IFERROR(INDEX(tblMaterial[Meldebestand],MATCH(B282,tblMaterial[SAP],0)),"?"))</f>
        <v/>
      </c>
      <c r="F282">
        <f>IF(OR(B282="",NOT(ISNUMBER(D282))),"",IF(D282&lt;E282,"JA",""))</f>
        <v/>
      </c>
    </row>
    <row r="283">
      <c r="A283">
        <f>IFERROR(INDEX(tblStellplatz[Stellplatz],ROW()-1),"")</f>
        <v/>
      </c>
      <c r="B283">
        <f>IFERROR(INDEX(tblStellplatz[SAP],ROW()-1),"")</f>
        <v/>
      </c>
      <c r="C283">
        <f>IF(B283="","",IFERROR(INDEX(tblMaterial[Bezeichnung],MATCH(B283,tblMaterial[SAP],0)),"?"))</f>
        <v/>
      </c>
      <c r="D283">
        <f>IF(B283="","",IFERROR(INDEX(tblMaterial[Lagerstand],MATCH(B283,tblMaterial[SAP],0)),"?"))</f>
        <v/>
      </c>
      <c r="E283">
        <f>IF(B283="","",IFERROR(INDEX(tblMaterial[Meldebestand],MATCH(B283,tblMaterial[SAP],0)),"?"))</f>
        <v/>
      </c>
      <c r="F283">
        <f>IF(OR(B283="",NOT(ISNUMBER(D283))),"",IF(D283&lt;E283,"JA",""))</f>
        <v/>
      </c>
    </row>
    <row r="284">
      <c r="A284">
        <f>IFERROR(INDEX(tblStellplatz[Stellplatz],ROW()-1),"")</f>
        <v/>
      </c>
      <c r="B284">
        <f>IFERROR(INDEX(tblStellplatz[SAP],ROW()-1),"")</f>
        <v/>
      </c>
      <c r="C284">
        <f>IF(B284="","",IFERROR(INDEX(tblMaterial[Bezeichnung],MATCH(B284,tblMaterial[SAP],0)),"?"))</f>
        <v/>
      </c>
      <c r="D284">
        <f>IF(B284="","",IFERROR(INDEX(tblMaterial[Lagerstand],MATCH(B284,tblMaterial[SAP],0)),"?"))</f>
        <v/>
      </c>
      <c r="E284">
        <f>IF(B284="","",IFERROR(INDEX(tblMaterial[Meldebestand],MATCH(B284,tblMaterial[SAP],0)),"?"))</f>
        <v/>
      </c>
      <c r="F284">
        <f>IF(OR(B284="",NOT(ISNUMBER(D284))),"",IF(D284&lt;E284,"JA",""))</f>
        <v/>
      </c>
    </row>
    <row r="285">
      <c r="A285">
        <f>IFERROR(INDEX(tblStellplatz[Stellplatz],ROW()-1),"")</f>
        <v/>
      </c>
      <c r="B285">
        <f>IFERROR(INDEX(tblStellplatz[SAP],ROW()-1),"")</f>
        <v/>
      </c>
      <c r="C285">
        <f>IF(B285="","",IFERROR(INDEX(tblMaterial[Bezeichnung],MATCH(B285,tblMaterial[SAP],0)),"?"))</f>
        <v/>
      </c>
      <c r="D285">
        <f>IF(B285="","",IFERROR(INDEX(tblMaterial[Lagerstand],MATCH(B285,tblMaterial[SAP],0)),"?"))</f>
        <v/>
      </c>
      <c r="E285">
        <f>IF(B285="","",IFERROR(INDEX(tblMaterial[Meldebestand],MATCH(B285,tblMaterial[SAP],0)),"?"))</f>
        <v/>
      </c>
      <c r="F285">
        <f>IF(OR(B285="",NOT(ISNUMBER(D285))),"",IF(D285&lt;E285,"JA",""))</f>
        <v/>
      </c>
    </row>
    <row r="286">
      <c r="A286">
        <f>IFERROR(INDEX(tblStellplatz[Stellplatz],ROW()-1),"")</f>
        <v/>
      </c>
      <c r="B286">
        <f>IFERROR(INDEX(tblStellplatz[SAP],ROW()-1),"")</f>
        <v/>
      </c>
      <c r="C286">
        <f>IF(B286="","",IFERROR(INDEX(tblMaterial[Bezeichnung],MATCH(B286,tblMaterial[SAP],0)),"?"))</f>
        <v/>
      </c>
      <c r="D286">
        <f>IF(B286="","",IFERROR(INDEX(tblMaterial[Lagerstand],MATCH(B286,tblMaterial[SAP],0)),"?"))</f>
        <v/>
      </c>
      <c r="E286">
        <f>IF(B286="","",IFERROR(INDEX(tblMaterial[Meldebestand],MATCH(B286,tblMaterial[SAP],0)),"?"))</f>
        <v/>
      </c>
      <c r="F286">
        <f>IF(OR(B286="",NOT(ISNUMBER(D286))),"",IF(D286&lt;E286,"JA",""))</f>
        <v/>
      </c>
    </row>
    <row r="287">
      <c r="A287">
        <f>IFERROR(INDEX(tblStellplatz[Stellplatz],ROW()-1),"")</f>
        <v/>
      </c>
      <c r="B287">
        <f>IFERROR(INDEX(tblStellplatz[SAP],ROW()-1),"")</f>
        <v/>
      </c>
      <c r="C287">
        <f>IF(B287="","",IFERROR(INDEX(tblMaterial[Bezeichnung],MATCH(B287,tblMaterial[SAP],0)),"?"))</f>
        <v/>
      </c>
      <c r="D287">
        <f>IF(B287="","",IFERROR(INDEX(tblMaterial[Lagerstand],MATCH(B287,tblMaterial[SAP],0)),"?"))</f>
        <v/>
      </c>
      <c r="E287">
        <f>IF(B287="","",IFERROR(INDEX(tblMaterial[Meldebestand],MATCH(B287,tblMaterial[SAP],0)),"?"))</f>
        <v/>
      </c>
      <c r="F287">
        <f>IF(OR(B287="",NOT(ISNUMBER(D287))),"",IF(D287&lt;E287,"JA",""))</f>
        <v/>
      </c>
    </row>
    <row r="288">
      <c r="A288">
        <f>IFERROR(INDEX(tblStellplatz[Stellplatz],ROW()-1),"")</f>
        <v/>
      </c>
      <c r="B288">
        <f>IFERROR(INDEX(tblStellplatz[SAP],ROW()-1),"")</f>
        <v/>
      </c>
      <c r="C288">
        <f>IF(B288="","",IFERROR(INDEX(tblMaterial[Bezeichnung],MATCH(B288,tblMaterial[SAP],0)),"?"))</f>
        <v/>
      </c>
      <c r="D288">
        <f>IF(B288="","",IFERROR(INDEX(tblMaterial[Lagerstand],MATCH(B288,tblMaterial[SAP],0)),"?"))</f>
        <v/>
      </c>
      <c r="E288">
        <f>IF(B288="","",IFERROR(INDEX(tblMaterial[Meldebestand],MATCH(B288,tblMaterial[SAP],0)),"?"))</f>
        <v/>
      </c>
      <c r="F288">
        <f>IF(OR(B288="",NOT(ISNUMBER(D288))),"",IF(D288&lt;E288,"JA",""))</f>
        <v/>
      </c>
    </row>
    <row r="289">
      <c r="A289">
        <f>IFERROR(INDEX(tblStellplatz[Stellplatz],ROW()-1),"")</f>
        <v/>
      </c>
      <c r="B289">
        <f>IFERROR(INDEX(tblStellplatz[SAP],ROW()-1),"")</f>
        <v/>
      </c>
      <c r="C289">
        <f>IF(B289="","",IFERROR(INDEX(tblMaterial[Bezeichnung],MATCH(B289,tblMaterial[SAP],0)),"?"))</f>
        <v/>
      </c>
      <c r="D289">
        <f>IF(B289="","",IFERROR(INDEX(tblMaterial[Lagerstand],MATCH(B289,tblMaterial[SAP],0)),"?"))</f>
        <v/>
      </c>
      <c r="E289">
        <f>IF(B289="","",IFERROR(INDEX(tblMaterial[Meldebestand],MATCH(B289,tblMaterial[SAP],0)),"?"))</f>
        <v/>
      </c>
      <c r="F289">
        <f>IF(OR(B289="",NOT(ISNUMBER(D289))),"",IF(D289&lt;E289,"JA",""))</f>
        <v/>
      </c>
    </row>
    <row r="290">
      <c r="A290">
        <f>IFERROR(INDEX(tblStellplatz[Stellplatz],ROW()-1),"")</f>
        <v/>
      </c>
      <c r="B290">
        <f>IFERROR(INDEX(tblStellplatz[SAP],ROW()-1),"")</f>
        <v/>
      </c>
      <c r="C290">
        <f>IF(B290="","",IFERROR(INDEX(tblMaterial[Bezeichnung],MATCH(B290,tblMaterial[SAP],0)),"?"))</f>
        <v/>
      </c>
      <c r="D290">
        <f>IF(B290="","",IFERROR(INDEX(tblMaterial[Lagerstand],MATCH(B290,tblMaterial[SAP],0)),"?"))</f>
        <v/>
      </c>
      <c r="E290">
        <f>IF(B290="","",IFERROR(INDEX(tblMaterial[Meldebestand],MATCH(B290,tblMaterial[SAP],0)),"?"))</f>
        <v/>
      </c>
      <c r="F290">
        <f>IF(OR(B290="",NOT(ISNUMBER(D290))),"",IF(D290&lt;E290,"JA",""))</f>
        <v/>
      </c>
    </row>
    <row r="291">
      <c r="A291">
        <f>IFERROR(INDEX(tblStellplatz[Stellplatz],ROW()-1),"")</f>
        <v/>
      </c>
      <c r="B291">
        <f>IFERROR(INDEX(tblStellplatz[SAP],ROW()-1),"")</f>
        <v/>
      </c>
      <c r="C291">
        <f>IF(B291="","",IFERROR(INDEX(tblMaterial[Bezeichnung],MATCH(B291,tblMaterial[SAP],0)),"?"))</f>
        <v/>
      </c>
      <c r="D291">
        <f>IF(B291="","",IFERROR(INDEX(tblMaterial[Lagerstand],MATCH(B291,tblMaterial[SAP],0)),"?"))</f>
        <v/>
      </c>
      <c r="E291">
        <f>IF(B291="","",IFERROR(INDEX(tblMaterial[Meldebestand],MATCH(B291,tblMaterial[SAP],0)),"?"))</f>
        <v/>
      </c>
      <c r="F291">
        <f>IF(OR(B291="",NOT(ISNUMBER(D291))),"",IF(D291&lt;E291,"JA",""))</f>
        <v/>
      </c>
    </row>
    <row r="292">
      <c r="A292">
        <f>IFERROR(INDEX(tblStellplatz[Stellplatz],ROW()-1),"")</f>
        <v/>
      </c>
      <c r="B292">
        <f>IFERROR(INDEX(tblStellplatz[SAP],ROW()-1),"")</f>
        <v/>
      </c>
      <c r="C292">
        <f>IF(B292="","",IFERROR(INDEX(tblMaterial[Bezeichnung],MATCH(B292,tblMaterial[SAP],0)),"?"))</f>
        <v/>
      </c>
      <c r="D292">
        <f>IF(B292="","",IFERROR(INDEX(tblMaterial[Lagerstand],MATCH(B292,tblMaterial[SAP],0)),"?"))</f>
        <v/>
      </c>
      <c r="E292">
        <f>IF(B292="","",IFERROR(INDEX(tblMaterial[Meldebestand],MATCH(B292,tblMaterial[SAP],0)),"?"))</f>
        <v/>
      </c>
      <c r="F292">
        <f>IF(OR(B292="",NOT(ISNUMBER(D292))),"",IF(D292&lt;E292,"JA",""))</f>
        <v/>
      </c>
    </row>
    <row r="293">
      <c r="A293">
        <f>IFERROR(INDEX(tblStellplatz[Stellplatz],ROW()-1),"")</f>
        <v/>
      </c>
      <c r="B293">
        <f>IFERROR(INDEX(tblStellplatz[SAP],ROW()-1),"")</f>
        <v/>
      </c>
      <c r="C293">
        <f>IF(B293="","",IFERROR(INDEX(tblMaterial[Bezeichnung],MATCH(B293,tblMaterial[SAP],0)),"?"))</f>
        <v/>
      </c>
      <c r="D293">
        <f>IF(B293="","",IFERROR(INDEX(tblMaterial[Lagerstand],MATCH(B293,tblMaterial[SAP],0)),"?"))</f>
        <v/>
      </c>
      <c r="E293">
        <f>IF(B293="","",IFERROR(INDEX(tblMaterial[Meldebestand],MATCH(B293,tblMaterial[SAP],0)),"?"))</f>
        <v/>
      </c>
      <c r="F293">
        <f>IF(OR(B293="",NOT(ISNUMBER(D293))),"",IF(D293&lt;E293,"JA",""))</f>
        <v/>
      </c>
    </row>
    <row r="294">
      <c r="A294">
        <f>IFERROR(INDEX(tblStellplatz[Stellplatz],ROW()-1),"")</f>
        <v/>
      </c>
      <c r="B294">
        <f>IFERROR(INDEX(tblStellplatz[SAP],ROW()-1),"")</f>
        <v/>
      </c>
      <c r="C294">
        <f>IF(B294="","",IFERROR(INDEX(tblMaterial[Bezeichnung],MATCH(B294,tblMaterial[SAP],0)),"?"))</f>
        <v/>
      </c>
      <c r="D294">
        <f>IF(B294="","",IFERROR(INDEX(tblMaterial[Lagerstand],MATCH(B294,tblMaterial[SAP],0)),"?"))</f>
        <v/>
      </c>
      <c r="E294">
        <f>IF(B294="","",IFERROR(INDEX(tblMaterial[Meldebestand],MATCH(B294,tblMaterial[SAP],0)),"?"))</f>
        <v/>
      </c>
      <c r="F294">
        <f>IF(OR(B294="",NOT(ISNUMBER(D294))),"",IF(D294&lt;E294,"JA",""))</f>
        <v/>
      </c>
    </row>
    <row r="295">
      <c r="A295">
        <f>IFERROR(INDEX(tblStellplatz[Stellplatz],ROW()-1),"")</f>
        <v/>
      </c>
      <c r="B295">
        <f>IFERROR(INDEX(tblStellplatz[SAP],ROW()-1),"")</f>
        <v/>
      </c>
      <c r="C295">
        <f>IF(B295="","",IFERROR(INDEX(tblMaterial[Bezeichnung],MATCH(B295,tblMaterial[SAP],0)),"?"))</f>
        <v/>
      </c>
      <c r="D295">
        <f>IF(B295="","",IFERROR(INDEX(tblMaterial[Lagerstand],MATCH(B295,tblMaterial[SAP],0)),"?"))</f>
        <v/>
      </c>
      <c r="E295">
        <f>IF(B295="","",IFERROR(INDEX(tblMaterial[Meldebestand],MATCH(B295,tblMaterial[SAP],0)),"?"))</f>
        <v/>
      </c>
      <c r="F295">
        <f>IF(OR(B295="",NOT(ISNUMBER(D295))),"",IF(D295&lt;E295,"JA",""))</f>
        <v/>
      </c>
    </row>
    <row r="296">
      <c r="A296">
        <f>IFERROR(INDEX(tblStellplatz[Stellplatz],ROW()-1),"")</f>
        <v/>
      </c>
      <c r="B296">
        <f>IFERROR(INDEX(tblStellplatz[SAP],ROW()-1),"")</f>
        <v/>
      </c>
      <c r="C296">
        <f>IF(B296="","",IFERROR(INDEX(tblMaterial[Bezeichnung],MATCH(B296,tblMaterial[SAP],0)),"?"))</f>
        <v/>
      </c>
      <c r="D296">
        <f>IF(B296="","",IFERROR(INDEX(tblMaterial[Lagerstand],MATCH(B296,tblMaterial[SAP],0)),"?"))</f>
        <v/>
      </c>
      <c r="E296">
        <f>IF(B296="","",IFERROR(INDEX(tblMaterial[Meldebestand],MATCH(B296,tblMaterial[SAP],0)),"?"))</f>
        <v/>
      </c>
      <c r="F296">
        <f>IF(OR(B296="",NOT(ISNUMBER(D296))),"",IF(D296&lt;E296,"JA",""))</f>
        <v/>
      </c>
    </row>
    <row r="297">
      <c r="A297">
        <f>IFERROR(INDEX(tblStellplatz[Stellplatz],ROW()-1),"")</f>
        <v/>
      </c>
      <c r="B297">
        <f>IFERROR(INDEX(tblStellplatz[SAP],ROW()-1),"")</f>
        <v/>
      </c>
      <c r="C297">
        <f>IF(B297="","",IFERROR(INDEX(tblMaterial[Bezeichnung],MATCH(B297,tblMaterial[SAP],0)),"?"))</f>
        <v/>
      </c>
      <c r="D297">
        <f>IF(B297="","",IFERROR(INDEX(tblMaterial[Lagerstand],MATCH(B297,tblMaterial[SAP],0)),"?"))</f>
        <v/>
      </c>
      <c r="E297">
        <f>IF(B297="","",IFERROR(INDEX(tblMaterial[Meldebestand],MATCH(B297,tblMaterial[SAP],0)),"?"))</f>
        <v/>
      </c>
      <c r="F297">
        <f>IF(OR(B297="",NOT(ISNUMBER(D297))),"",IF(D297&lt;E297,"JA",""))</f>
        <v/>
      </c>
    </row>
    <row r="298">
      <c r="A298">
        <f>IFERROR(INDEX(tblStellplatz[Stellplatz],ROW()-1),"")</f>
        <v/>
      </c>
      <c r="B298">
        <f>IFERROR(INDEX(tblStellplatz[SAP],ROW()-1),"")</f>
        <v/>
      </c>
      <c r="C298">
        <f>IF(B298="","",IFERROR(INDEX(tblMaterial[Bezeichnung],MATCH(B298,tblMaterial[SAP],0)),"?"))</f>
        <v/>
      </c>
      <c r="D298">
        <f>IF(B298="","",IFERROR(INDEX(tblMaterial[Lagerstand],MATCH(B298,tblMaterial[SAP],0)),"?"))</f>
        <v/>
      </c>
      <c r="E298">
        <f>IF(B298="","",IFERROR(INDEX(tblMaterial[Meldebestand],MATCH(B298,tblMaterial[SAP],0)),"?"))</f>
        <v/>
      </c>
      <c r="F298">
        <f>IF(OR(B298="",NOT(ISNUMBER(D298))),"",IF(D298&lt;E298,"JA",""))</f>
        <v/>
      </c>
    </row>
    <row r="299">
      <c r="A299">
        <f>IFERROR(INDEX(tblStellplatz[Stellplatz],ROW()-1),"")</f>
        <v/>
      </c>
      <c r="B299">
        <f>IFERROR(INDEX(tblStellplatz[SAP],ROW()-1),"")</f>
        <v/>
      </c>
      <c r="C299">
        <f>IF(B299="","",IFERROR(INDEX(tblMaterial[Bezeichnung],MATCH(B299,tblMaterial[SAP],0)),"?"))</f>
        <v/>
      </c>
      <c r="D299">
        <f>IF(B299="","",IFERROR(INDEX(tblMaterial[Lagerstand],MATCH(B299,tblMaterial[SAP],0)),"?"))</f>
        <v/>
      </c>
      <c r="E299">
        <f>IF(B299="","",IFERROR(INDEX(tblMaterial[Meldebestand],MATCH(B299,tblMaterial[SAP],0)),"?"))</f>
        <v/>
      </c>
      <c r="F299">
        <f>IF(OR(B299="",NOT(ISNUMBER(D299))),"",IF(D299&lt;E299,"JA",""))</f>
        <v/>
      </c>
    </row>
    <row r="300">
      <c r="A300">
        <f>IFERROR(INDEX(tblStellplatz[Stellplatz],ROW()-1),"")</f>
        <v/>
      </c>
      <c r="B300">
        <f>IFERROR(INDEX(tblStellplatz[SAP],ROW()-1),"")</f>
        <v/>
      </c>
      <c r="C300">
        <f>IF(B300="","",IFERROR(INDEX(tblMaterial[Bezeichnung],MATCH(B300,tblMaterial[SAP],0)),"?"))</f>
        <v/>
      </c>
      <c r="D300">
        <f>IF(B300="","",IFERROR(INDEX(tblMaterial[Lagerstand],MATCH(B300,tblMaterial[SAP],0)),"?"))</f>
        <v/>
      </c>
      <c r="E300">
        <f>IF(B300="","",IFERROR(INDEX(tblMaterial[Meldebestand],MATCH(B300,tblMaterial[SAP],0)),"?"))</f>
        <v/>
      </c>
      <c r="F300">
        <f>IF(OR(B300="",NOT(ISNUMBER(D300))),"",IF(D300&lt;E300,"JA",""))</f>
        <v/>
      </c>
    </row>
    <row r="301">
      <c r="A301">
        <f>IFERROR(INDEX(tblStellplatz[Stellplatz],ROW()-1),"")</f>
        <v/>
      </c>
      <c r="B301">
        <f>IFERROR(INDEX(tblStellplatz[SAP],ROW()-1),"")</f>
        <v/>
      </c>
      <c r="C301">
        <f>IF(B301="","",IFERROR(INDEX(tblMaterial[Bezeichnung],MATCH(B301,tblMaterial[SAP],0)),"?"))</f>
        <v/>
      </c>
      <c r="D301">
        <f>IF(B301="","",IFERROR(INDEX(tblMaterial[Lagerstand],MATCH(B301,tblMaterial[SAP],0)),"?"))</f>
        <v/>
      </c>
      <c r="E301">
        <f>IF(B301="","",IFERROR(INDEX(tblMaterial[Meldebestand],MATCH(B301,tblMaterial[SAP],0)),"?"))</f>
        <v/>
      </c>
      <c r="F301">
        <f>IF(OR(B301="",NOT(ISNUMBER(D301))),"",IF(D301&lt;E301,"JA",""))</f>
        <v/>
      </c>
    </row>
    <row r="302">
      <c r="A302">
        <f>IFERROR(INDEX(tblStellplatz[Stellplatz],ROW()-1),"")</f>
        <v/>
      </c>
      <c r="B302">
        <f>IFERROR(INDEX(tblStellplatz[SAP],ROW()-1),"")</f>
        <v/>
      </c>
      <c r="C302">
        <f>IF(B302="","",IFERROR(INDEX(tblMaterial[Bezeichnung],MATCH(B302,tblMaterial[SAP],0)),"?"))</f>
        <v/>
      </c>
      <c r="D302">
        <f>IF(B302="","",IFERROR(INDEX(tblMaterial[Lagerstand],MATCH(B302,tblMaterial[SAP],0)),"?"))</f>
        <v/>
      </c>
      <c r="E302">
        <f>IF(B302="","",IFERROR(INDEX(tblMaterial[Meldebestand],MATCH(B302,tblMaterial[SAP],0)),"?"))</f>
        <v/>
      </c>
      <c r="F302">
        <f>IF(OR(B302="",NOT(ISNUMBER(D302))),"",IF(D302&lt;E302,"JA",""))</f>
        <v/>
      </c>
    </row>
    <row r="303">
      <c r="A303">
        <f>IFERROR(INDEX(tblStellplatz[Stellplatz],ROW()-1),"")</f>
        <v/>
      </c>
      <c r="B303">
        <f>IFERROR(INDEX(tblStellplatz[SAP],ROW()-1),"")</f>
        <v/>
      </c>
      <c r="C303">
        <f>IF(B303="","",IFERROR(INDEX(tblMaterial[Bezeichnung],MATCH(B303,tblMaterial[SAP],0)),"?"))</f>
        <v/>
      </c>
      <c r="D303">
        <f>IF(B303="","",IFERROR(INDEX(tblMaterial[Lagerstand],MATCH(B303,tblMaterial[SAP],0)),"?"))</f>
        <v/>
      </c>
      <c r="E303">
        <f>IF(B303="","",IFERROR(INDEX(tblMaterial[Meldebestand],MATCH(B303,tblMaterial[SAP],0)),"?"))</f>
        <v/>
      </c>
      <c r="F303">
        <f>IF(OR(B303="",NOT(ISNUMBER(D303))),"",IF(D303&lt;E303,"JA",""))</f>
        <v/>
      </c>
    </row>
    <row r="304">
      <c r="A304">
        <f>IFERROR(INDEX(tblStellplatz[Stellplatz],ROW()-1),"")</f>
        <v/>
      </c>
      <c r="B304">
        <f>IFERROR(INDEX(tblStellplatz[SAP],ROW()-1),"")</f>
        <v/>
      </c>
      <c r="C304">
        <f>IF(B304="","",IFERROR(INDEX(tblMaterial[Bezeichnung],MATCH(B304,tblMaterial[SAP],0)),"?"))</f>
        <v/>
      </c>
      <c r="D304">
        <f>IF(B304="","",IFERROR(INDEX(tblMaterial[Lagerstand],MATCH(B304,tblMaterial[SAP],0)),"?"))</f>
        <v/>
      </c>
      <c r="E304">
        <f>IF(B304="","",IFERROR(INDEX(tblMaterial[Meldebestand],MATCH(B304,tblMaterial[SAP],0)),"?"))</f>
        <v/>
      </c>
      <c r="F304">
        <f>IF(OR(B304="",NOT(ISNUMBER(D304))),"",IF(D304&lt;E304,"JA",""))</f>
        <v/>
      </c>
    </row>
    <row r="305">
      <c r="A305">
        <f>IFERROR(INDEX(tblStellplatz[Stellplatz],ROW()-1),"")</f>
        <v/>
      </c>
      <c r="B305">
        <f>IFERROR(INDEX(tblStellplatz[SAP],ROW()-1),"")</f>
        <v/>
      </c>
      <c r="C305">
        <f>IF(B305="","",IFERROR(INDEX(tblMaterial[Bezeichnung],MATCH(B305,tblMaterial[SAP],0)),"?"))</f>
        <v/>
      </c>
      <c r="D305">
        <f>IF(B305="","",IFERROR(INDEX(tblMaterial[Lagerstand],MATCH(B305,tblMaterial[SAP],0)),"?"))</f>
        <v/>
      </c>
      <c r="E305">
        <f>IF(B305="","",IFERROR(INDEX(tblMaterial[Meldebestand],MATCH(B305,tblMaterial[SAP],0)),"?"))</f>
        <v/>
      </c>
      <c r="F305">
        <f>IF(OR(B305="",NOT(ISNUMBER(D305))),"",IF(D305&lt;E305,"JA",""))</f>
        <v/>
      </c>
    </row>
    <row r="306">
      <c r="A306">
        <f>IFERROR(INDEX(tblStellplatz[Stellplatz],ROW()-1),"")</f>
        <v/>
      </c>
      <c r="B306">
        <f>IFERROR(INDEX(tblStellplatz[SAP],ROW()-1),"")</f>
        <v/>
      </c>
      <c r="C306">
        <f>IF(B306="","",IFERROR(INDEX(tblMaterial[Bezeichnung],MATCH(B306,tblMaterial[SAP],0)),"?"))</f>
        <v/>
      </c>
      <c r="D306">
        <f>IF(B306="","",IFERROR(INDEX(tblMaterial[Lagerstand],MATCH(B306,tblMaterial[SAP],0)),"?"))</f>
        <v/>
      </c>
      <c r="E306">
        <f>IF(B306="","",IFERROR(INDEX(tblMaterial[Meldebestand],MATCH(B306,tblMaterial[SAP],0)),"?"))</f>
        <v/>
      </c>
      <c r="F306">
        <f>IF(OR(B306="",NOT(ISNUMBER(D306))),"",IF(D306&lt;E306,"JA",""))</f>
        <v/>
      </c>
    </row>
    <row r="307">
      <c r="A307">
        <f>IFERROR(INDEX(tblStellplatz[Stellplatz],ROW()-1),"")</f>
        <v/>
      </c>
      <c r="B307">
        <f>IFERROR(INDEX(tblStellplatz[SAP],ROW()-1),"")</f>
        <v/>
      </c>
      <c r="C307">
        <f>IF(B307="","",IFERROR(INDEX(tblMaterial[Bezeichnung],MATCH(B307,tblMaterial[SAP],0)),"?"))</f>
        <v/>
      </c>
      <c r="D307">
        <f>IF(B307="","",IFERROR(INDEX(tblMaterial[Lagerstand],MATCH(B307,tblMaterial[SAP],0)),"?"))</f>
        <v/>
      </c>
      <c r="E307">
        <f>IF(B307="","",IFERROR(INDEX(tblMaterial[Meldebestand],MATCH(B307,tblMaterial[SAP],0)),"?"))</f>
        <v/>
      </c>
      <c r="F307">
        <f>IF(OR(B307="",NOT(ISNUMBER(D307))),"",IF(D307&lt;E307,"JA",""))</f>
        <v/>
      </c>
    </row>
    <row r="308">
      <c r="A308">
        <f>IFERROR(INDEX(tblStellplatz[Stellplatz],ROW()-1),"")</f>
        <v/>
      </c>
      <c r="B308">
        <f>IFERROR(INDEX(tblStellplatz[SAP],ROW()-1),"")</f>
        <v/>
      </c>
      <c r="C308">
        <f>IF(B308="","",IFERROR(INDEX(tblMaterial[Bezeichnung],MATCH(B308,tblMaterial[SAP],0)),"?"))</f>
        <v/>
      </c>
      <c r="D308">
        <f>IF(B308="","",IFERROR(INDEX(tblMaterial[Lagerstand],MATCH(B308,tblMaterial[SAP],0)),"?"))</f>
        <v/>
      </c>
      <c r="E308">
        <f>IF(B308="","",IFERROR(INDEX(tblMaterial[Meldebestand],MATCH(B308,tblMaterial[SAP],0)),"?"))</f>
        <v/>
      </c>
      <c r="F308">
        <f>IF(OR(B308="",NOT(ISNUMBER(D308))),"",IF(D308&lt;E308,"JA",""))</f>
        <v/>
      </c>
    </row>
    <row r="309">
      <c r="A309">
        <f>IFERROR(INDEX(tblStellplatz[Stellplatz],ROW()-1),"")</f>
        <v/>
      </c>
      <c r="B309">
        <f>IFERROR(INDEX(tblStellplatz[SAP],ROW()-1),"")</f>
        <v/>
      </c>
      <c r="C309">
        <f>IF(B309="","",IFERROR(INDEX(tblMaterial[Bezeichnung],MATCH(B309,tblMaterial[SAP],0)),"?"))</f>
        <v/>
      </c>
      <c r="D309">
        <f>IF(B309="","",IFERROR(INDEX(tblMaterial[Lagerstand],MATCH(B309,tblMaterial[SAP],0)),"?"))</f>
        <v/>
      </c>
      <c r="E309">
        <f>IF(B309="","",IFERROR(INDEX(tblMaterial[Meldebestand],MATCH(B309,tblMaterial[SAP],0)),"?"))</f>
        <v/>
      </c>
      <c r="F309">
        <f>IF(OR(B309="",NOT(ISNUMBER(D309))),"",IF(D309&lt;E309,"JA",""))</f>
        <v/>
      </c>
    </row>
    <row r="310">
      <c r="A310">
        <f>IFERROR(INDEX(tblStellplatz[Stellplatz],ROW()-1),"")</f>
        <v/>
      </c>
      <c r="B310">
        <f>IFERROR(INDEX(tblStellplatz[SAP],ROW()-1),"")</f>
        <v/>
      </c>
      <c r="C310">
        <f>IF(B310="","",IFERROR(INDEX(tblMaterial[Bezeichnung],MATCH(B310,tblMaterial[SAP],0)),"?"))</f>
        <v/>
      </c>
      <c r="D310">
        <f>IF(B310="","",IFERROR(INDEX(tblMaterial[Lagerstand],MATCH(B310,tblMaterial[SAP],0)),"?"))</f>
        <v/>
      </c>
      <c r="E310">
        <f>IF(B310="","",IFERROR(INDEX(tblMaterial[Meldebestand],MATCH(B310,tblMaterial[SAP],0)),"?"))</f>
        <v/>
      </c>
      <c r="F310">
        <f>IF(OR(B310="",NOT(ISNUMBER(D310))),"",IF(D310&lt;E310,"JA",""))</f>
        <v/>
      </c>
    </row>
    <row r="311">
      <c r="A311">
        <f>IFERROR(INDEX(tblStellplatz[Stellplatz],ROW()-1),"")</f>
        <v/>
      </c>
      <c r="B311">
        <f>IFERROR(INDEX(tblStellplatz[SAP],ROW()-1),"")</f>
        <v/>
      </c>
      <c r="C311">
        <f>IF(B311="","",IFERROR(INDEX(tblMaterial[Bezeichnung],MATCH(B311,tblMaterial[SAP],0)),"?"))</f>
        <v/>
      </c>
      <c r="D311">
        <f>IF(B311="","",IFERROR(INDEX(tblMaterial[Lagerstand],MATCH(B311,tblMaterial[SAP],0)),"?"))</f>
        <v/>
      </c>
      <c r="E311">
        <f>IF(B311="","",IFERROR(INDEX(tblMaterial[Meldebestand],MATCH(B311,tblMaterial[SAP],0)),"?"))</f>
        <v/>
      </c>
      <c r="F311">
        <f>IF(OR(B311="",NOT(ISNUMBER(D311))),"",IF(D311&lt;E311,"JA",""))</f>
        <v/>
      </c>
    </row>
    <row r="312">
      <c r="A312">
        <f>IFERROR(INDEX(tblStellplatz[Stellplatz],ROW()-1),"")</f>
        <v/>
      </c>
      <c r="B312">
        <f>IFERROR(INDEX(tblStellplatz[SAP],ROW()-1),"")</f>
        <v/>
      </c>
      <c r="C312">
        <f>IF(B312="","",IFERROR(INDEX(tblMaterial[Bezeichnung],MATCH(B312,tblMaterial[SAP],0)),"?"))</f>
        <v/>
      </c>
      <c r="D312">
        <f>IF(B312="","",IFERROR(INDEX(tblMaterial[Lagerstand],MATCH(B312,tblMaterial[SAP],0)),"?"))</f>
        <v/>
      </c>
      <c r="E312">
        <f>IF(B312="","",IFERROR(INDEX(tblMaterial[Meldebestand],MATCH(B312,tblMaterial[SAP],0)),"?"))</f>
        <v/>
      </c>
      <c r="F312">
        <f>IF(OR(B312="",NOT(ISNUMBER(D312))),"",IF(D312&lt;E312,"JA",""))</f>
        <v/>
      </c>
    </row>
    <row r="313">
      <c r="A313">
        <f>IFERROR(INDEX(tblStellplatz[Stellplatz],ROW()-1),"")</f>
        <v/>
      </c>
      <c r="B313">
        <f>IFERROR(INDEX(tblStellplatz[SAP],ROW()-1),"")</f>
        <v/>
      </c>
      <c r="C313">
        <f>IF(B313="","",IFERROR(INDEX(tblMaterial[Bezeichnung],MATCH(B313,tblMaterial[SAP],0)),"?"))</f>
        <v/>
      </c>
      <c r="D313">
        <f>IF(B313="","",IFERROR(INDEX(tblMaterial[Lagerstand],MATCH(B313,tblMaterial[SAP],0)),"?"))</f>
        <v/>
      </c>
      <c r="E313">
        <f>IF(B313="","",IFERROR(INDEX(tblMaterial[Meldebestand],MATCH(B313,tblMaterial[SAP],0)),"?"))</f>
        <v/>
      </c>
      <c r="F313">
        <f>IF(OR(B313="",NOT(ISNUMBER(D313))),"",IF(D313&lt;E313,"JA",""))</f>
        <v/>
      </c>
    </row>
    <row r="314">
      <c r="A314">
        <f>IFERROR(INDEX(tblStellplatz[Stellplatz],ROW()-1),"")</f>
        <v/>
      </c>
      <c r="B314">
        <f>IFERROR(INDEX(tblStellplatz[SAP],ROW()-1),"")</f>
        <v/>
      </c>
      <c r="C314">
        <f>IF(B314="","",IFERROR(INDEX(tblMaterial[Bezeichnung],MATCH(B314,tblMaterial[SAP],0)),"?"))</f>
        <v/>
      </c>
      <c r="D314">
        <f>IF(B314="","",IFERROR(INDEX(tblMaterial[Lagerstand],MATCH(B314,tblMaterial[SAP],0)),"?"))</f>
        <v/>
      </c>
      <c r="E314">
        <f>IF(B314="","",IFERROR(INDEX(tblMaterial[Meldebestand],MATCH(B314,tblMaterial[SAP],0)),"?"))</f>
        <v/>
      </c>
      <c r="F314">
        <f>IF(OR(B314="",NOT(ISNUMBER(D314))),"",IF(D314&lt;E314,"JA",""))</f>
        <v/>
      </c>
    </row>
    <row r="315">
      <c r="A315">
        <f>IFERROR(INDEX(tblStellplatz[Stellplatz],ROW()-1),"")</f>
        <v/>
      </c>
      <c r="B315">
        <f>IFERROR(INDEX(tblStellplatz[SAP],ROW()-1),"")</f>
        <v/>
      </c>
      <c r="C315">
        <f>IF(B315="","",IFERROR(INDEX(tblMaterial[Bezeichnung],MATCH(B315,tblMaterial[SAP],0)),"?"))</f>
        <v/>
      </c>
      <c r="D315">
        <f>IF(B315="","",IFERROR(INDEX(tblMaterial[Lagerstand],MATCH(B315,tblMaterial[SAP],0)),"?"))</f>
        <v/>
      </c>
      <c r="E315">
        <f>IF(B315="","",IFERROR(INDEX(tblMaterial[Meldebestand],MATCH(B315,tblMaterial[SAP],0)),"?"))</f>
        <v/>
      </c>
      <c r="F315">
        <f>IF(OR(B315="",NOT(ISNUMBER(D315))),"",IF(D315&lt;E315,"JA",""))</f>
        <v/>
      </c>
    </row>
    <row r="316">
      <c r="A316">
        <f>IFERROR(INDEX(tblStellplatz[Stellplatz],ROW()-1),"")</f>
        <v/>
      </c>
      <c r="B316">
        <f>IFERROR(INDEX(tblStellplatz[SAP],ROW()-1),"")</f>
        <v/>
      </c>
      <c r="C316">
        <f>IF(B316="","",IFERROR(INDEX(tblMaterial[Bezeichnung],MATCH(B316,tblMaterial[SAP],0)),"?"))</f>
        <v/>
      </c>
      <c r="D316">
        <f>IF(B316="","",IFERROR(INDEX(tblMaterial[Lagerstand],MATCH(B316,tblMaterial[SAP],0)),"?"))</f>
        <v/>
      </c>
      <c r="E316">
        <f>IF(B316="","",IFERROR(INDEX(tblMaterial[Meldebestand],MATCH(B316,tblMaterial[SAP],0)),"?"))</f>
        <v/>
      </c>
      <c r="F316">
        <f>IF(OR(B316="",NOT(ISNUMBER(D316))),"",IF(D316&lt;E316,"JA",""))</f>
        <v/>
      </c>
    </row>
    <row r="317">
      <c r="A317">
        <f>IFERROR(INDEX(tblStellplatz[Stellplatz],ROW()-1),"")</f>
        <v/>
      </c>
      <c r="B317">
        <f>IFERROR(INDEX(tblStellplatz[SAP],ROW()-1),"")</f>
        <v/>
      </c>
      <c r="C317">
        <f>IF(B317="","",IFERROR(INDEX(tblMaterial[Bezeichnung],MATCH(B317,tblMaterial[SAP],0)),"?"))</f>
        <v/>
      </c>
      <c r="D317">
        <f>IF(B317="","",IFERROR(INDEX(tblMaterial[Lagerstand],MATCH(B317,tblMaterial[SAP],0)),"?"))</f>
        <v/>
      </c>
      <c r="E317">
        <f>IF(B317="","",IFERROR(INDEX(tblMaterial[Meldebestand],MATCH(B317,tblMaterial[SAP],0)),"?"))</f>
        <v/>
      </c>
      <c r="F317">
        <f>IF(OR(B317="",NOT(ISNUMBER(D317))),"",IF(D317&lt;E317,"JA",""))</f>
        <v/>
      </c>
    </row>
    <row r="318">
      <c r="A318">
        <f>IFERROR(INDEX(tblStellplatz[Stellplatz],ROW()-1),"")</f>
        <v/>
      </c>
      <c r="B318">
        <f>IFERROR(INDEX(tblStellplatz[SAP],ROW()-1),"")</f>
        <v/>
      </c>
      <c r="C318">
        <f>IF(B318="","",IFERROR(INDEX(tblMaterial[Bezeichnung],MATCH(B318,tblMaterial[SAP],0)),"?"))</f>
        <v/>
      </c>
      <c r="D318">
        <f>IF(B318="","",IFERROR(INDEX(tblMaterial[Lagerstand],MATCH(B318,tblMaterial[SAP],0)),"?"))</f>
        <v/>
      </c>
      <c r="E318">
        <f>IF(B318="","",IFERROR(INDEX(tblMaterial[Meldebestand],MATCH(B318,tblMaterial[SAP],0)),"?"))</f>
        <v/>
      </c>
      <c r="F318">
        <f>IF(OR(B318="",NOT(ISNUMBER(D318))),"",IF(D318&lt;E318,"JA",""))</f>
        <v/>
      </c>
    </row>
    <row r="319">
      <c r="A319">
        <f>IFERROR(INDEX(tblStellplatz[Stellplatz],ROW()-1),"")</f>
        <v/>
      </c>
      <c r="B319">
        <f>IFERROR(INDEX(tblStellplatz[SAP],ROW()-1),"")</f>
        <v/>
      </c>
      <c r="C319">
        <f>IF(B319="","",IFERROR(INDEX(tblMaterial[Bezeichnung],MATCH(B319,tblMaterial[SAP],0)),"?"))</f>
        <v/>
      </c>
      <c r="D319">
        <f>IF(B319="","",IFERROR(INDEX(tblMaterial[Lagerstand],MATCH(B319,tblMaterial[SAP],0)),"?"))</f>
        <v/>
      </c>
      <c r="E319">
        <f>IF(B319="","",IFERROR(INDEX(tblMaterial[Meldebestand],MATCH(B319,tblMaterial[SAP],0)),"?"))</f>
        <v/>
      </c>
      <c r="F319">
        <f>IF(OR(B319="",NOT(ISNUMBER(D319))),"",IF(D319&lt;E319,"JA",""))</f>
        <v/>
      </c>
    </row>
    <row r="320">
      <c r="A320">
        <f>IFERROR(INDEX(tblStellplatz[Stellplatz],ROW()-1),"")</f>
        <v/>
      </c>
      <c r="B320">
        <f>IFERROR(INDEX(tblStellplatz[SAP],ROW()-1),"")</f>
        <v/>
      </c>
      <c r="C320">
        <f>IF(B320="","",IFERROR(INDEX(tblMaterial[Bezeichnung],MATCH(B320,tblMaterial[SAP],0)),"?"))</f>
        <v/>
      </c>
      <c r="D320">
        <f>IF(B320="","",IFERROR(INDEX(tblMaterial[Lagerstand],MATCH(B320,tblMaterial[SAP],0)),"?"))</f>
        <v/>
      </c>
      <c r="E320">
        <f>IF(B320="","",IFERROR(INDEX(tblMaterial[Meldebestand],MATCH(B320,tblMaterial[SAP],0)),"?"))</f>
        <v/>
      </c>
      <c r="F320">
        <f>IF(OR(B320="",NOT(ISNUMBER(D320))),"",IF(D320&lt;E320,"JA",""))</f>
        <v/>
      </c>
    </row>
    <row r="321">
      <c r="A321">
        <f>IFERROR(INDEX(tblStellplatz[Stellplatz],ROW()-1),"")</f>
        <v/>
      </c>
      <c r="B321">
        <f>IFERROR(INDEX(tblStellplatz[SAP],ROW()-1),"")</f>
        <v/>
      </c>
      <c r="C321">
        <f>IF(B321="","",IFERROR(INDEX(tblMaterial[Bezeichnung],MATCH(B321,tblMaterial[SAP],0)),"?"))</f>
        <v/>
      </c>
      <c r="D321">
        <f>IF(B321="","",IFERROR(INDEX(tblMaterial[Lagerstand],MATCH(B321,tblMaterial[SAP],0)),"?"))</f>
        <v/>
      </c>
      <c r="E321">
        <f>IF(B321="","",IFERROR(INDEX(tblMaterial[Meldebestand],MATCH(B321,tblMaterial[SAP],0)),"?"))</f>
        <v/>
      </c>
      <c r="F321">
        <f>IF(OR(B321="",NOT(ISNUMBER(D321))),"",IF(D321&lt;E321,"JA",""))</f>
        <v/>
      </c>
    </row>
    <row r="322">
      <c r="A322">
        <f>IFERROR(INDEX(tblStellplatz[Stellplatz],ROW()-1),"")</f>
        <v/>
      </c>
      <c r="B322">
        <f>IFERROR(INDEX(tblStellplatz[SAP],ROW()-1),"")</f>
        <v/>
      </c>
      <c r="C322">
        <f>IF(B322="","",IFERROR(INDEX(tblMaterial[Bezeichnung],MATCH(B322,tblMaterial[SAP],0)),"?"))</f>
        <v/>
      </c>
      <c r="D322">
        <f>IF(B322="","",IFERROR(INDEX(tblMaterial[Lagerstand],MATCH(B322,tblMaterial[SAP],0)),"?"))</f>
        <v/>
      </c>
      <c r="E322">
        <f>IF(B322="","",IFERROR(INDEX(tblMaterial[Meldebestand],MATCH(B322,tblMaterial[SAP],0)),"?"))</f>
        <v/>
      </c>
      <c r="F322">
        <f>IF(OR(B322="",NOT(ISNUMBER(D322))),"",IF(D322&lt;E322,"JA",""))</f>
        <v/>
      </c>
    </row>
    <row r="323">
      <c r="A323">
        <f>IFERROR(INDEX(tblStellplatz[Stellplatz],ROW()-1),"")</f>
        <v/>
      </c>
      <c r="B323">
        <f>IFERROR(INDEX(tblStellplatz[SAP],ROW()-1),"")</f>
        <v/>
      </c>
      <c r="C323">
        <f>IF(B323="","",IFERROR(INDEX(tblMaterial[Bezeichnung],MATCH(B323,tblMaterial[SAP],0)),"?"))</f>
        <v/>
      </c>
      <c r="D323">
        <f>IF(B323="","",IFERROR(INDEX(tblMaterial[Lagerstand],MATCH(B323,tblMaterial[SAP],0)),"?"))</f>
        <v/>
      </c>
      <c r="E323">
        <f>IF(B323="","",IFERROR(INDEX(tblMaterial[Meldebestand],MATCH(B323,tblMaterial[SAP],0)),"?"))</f>
        <v/>
      </c>
      <c r="F323">
        <f>IF(OR(B323="",NOT(ISNUMBER(D323))),"",IF(D323&lt;E323,"JA",""))</f>
        <v/>
      </c>
    </row>
    <row r="324">
      <c r="A324">
        <f>IFERROR(INDEX(tblStellplatz[Stellplatz],ROW()-1),"")</f>
        <v/>
      </c>
      <c r="B324">
        <f>IFERROR(INDEX(tblStellplatz[SAP],ROW()-1),"")</f>
        <v/>
      </c>
      <c r="C324">
        <f>IF(B324="","",IFERROR(INDEX(tblMaterial[Bezeichnung],MATCH(B324,tblMaterial[SAP],0)),"?"))</f>
        <v/>
      </c>
      <c r="D324">
        <f>IF(B324="","",IFERROR(INDEX(tblMaterial[Lagerstand],MATCH(B324,tblMaterial[SAP],0)),"?"))</f>
        <v/>
      </c>
      <c r="E324">
        <f>IF(B324="","",IFERROR(INDEX(tblMaterial[Meldebestand],MATCH(B324,tblMaterial[SAP],0)),"?"))</f>
        <v/>
      </c>
      <c r="F324">
        <f>IF(OR(B324="",NOT(ISNUMBER(D324))),"",IF(D324&lt;E324,"JA",""))</f>
        <v/>
      </c>
    </row>
    <row r="325">
      <c r="A325">
        <f>IFERROR(INDEX(tblStellplatz[Stellplatz],ROW()-1),"")</f>
        <v/>
      </c>
      <c r="B325">
        <f>IFERROR(INDEX(tblStellplatz[SAP],ROW()-1),"")</f>
        <v/>
      </c>
      <c r="C325">
        <f>IF(B325="","",IFERROR(INDEX(tblMaterial[Bezeichnung],MATCH(B325,tblMaterial[SAP],0)),"?"))</f>
        <v/>
      </c>
      <c r="D325">
        <f>IF(B325="","",IFERROR(INDEX(tblMaterial[Lagerstand],MATCH(B325,tblMaterial[SAP],0)),"?"))</f>
        <v/>
      </c>
      <c r="E325">
        <f>IF(B325="","",IFERROR(INDEX(tblMaterial[Meldebestand],MATCH(B325,tblMaterial[SAP],0)),"?"))</f>
        <v/>
      </c>
      <c r="F325">
        <f>IF(OR(B325="",NOT(ISNUMBER(D325))),"",IF(D325&lt;E325,"JA",""))</f>
        <v/>
      </c>
    </row>
    <row r="326">
      <c r="A326">
        <f>IFERROR(INDEX(tblStellplatz[Stellplatz],ROW()-1),"")</f>
        <v/>
      </c>
      <c r="B326">
        <f>IFERROR(INDEX(tblStellplatz[SAP],ROW()-1),"")</f>
        <v/>
      </c>
      <c r="C326">
        <f>IF(B326="","",IFERROR(INDEX(tblMaterial[Bezeichnung],MATCH(B326,tblMaterial[SAP],0)),"?"))</f>
        <v/>
      </c>
      <c r="D326">
        <f>IF(B326="","",IFERROR(INDEX(tblMaterial[Lagerstand],MATCH(B326,tblMaterial[SAP],0)),"?"))</f>
        <v/>
      </c>
      <c r="E326">
        <f>IF(B326="","",IFERROR(INDEX(tblMaterial[Meldebestand],MATCH(B326,tblMaterial[SAP],0)),"?"))</f>
        <v/>
      </c>
      <c r="F326">
        <f>IF(OR(B326="",NOT(ISNUMBER(D326))),"",IF(D326&lt;E326,"JA",""))</f>
        <v/>
      </c>
    </row>
    <row r="327">
      <c r="A327">
        <f>IFERROR(INDEX(tblStellplatz[Stellplatz],ROW()-1),"")</f>
        <v/>
      </c>
      <c r="B327">
        <f>IFERROR(INDEX(tblStellplatz[SAP],ROW()-1),"")</f>
        <v/>
      </c>
      <c r="C327">
        <f>IF(B327="","",IFERROR(INDEX(tblMaterial[Bezeichnung],MATCH(B327,tblMaterial[SAP],0)),"?"))</f>
        <v/>
      </c>
      <c r="D327">
        <f>IF(B327="","",IFERROR(INDEX(tblMaterial[Lagerstand],MATCH(B327,tblMaterial[SAP],0)),"?"))</f>
        <v/>
      </c>
      <c r="E327">
        <f>IF(B327="","",IFERROR(INDEX(tblMaterial[Meldebestand],MATCH(B327,tblMaterial[SAP],0)),"?"))</f>
        <v/>
      </c>
      <c r="F327">
        <f>IF(OR(B327="",NOT(ISNUMBER(D327))),"",IF(D327&lt;E327,"JA",""))</f>
        <v/>
      </c>
    </row>
    <row r="328">
      <c r="A328">
        <f>IFERROR(INDEX(tblStellplatz[Stellplatz],ROW()-1),"")</f>
        <v/>
      </c>
      <c r="B328">
        <f>IFERROR(INDEX(tblStellplatz[SAP],ROW()-1),"")</f>
        <v/>
      </c>
      <c r="C328">
        <f>IF(B328="","",IFERROR(INDEX(tblMaterial[Bezeichnung],MATCH(B328,tblMaterial[SAP],0)),"?"))</f>
        <v/>
      </c>
      <c r="D328">
        <f>IF(B328="","",IFERROR(INDEX(tblMaterial[Lagerstand],MATCH(B328,tblMaterial[SAP],0)),"?"))</f>
        <v/>
      </c>
      <c r="E328">
        <f>IF(B328="","",IFERROR(INDEX(tblMaterial[Meldebestand],MATCH(B328,tblMaterial[SAP],0)),"?"))</f>
        <v/>
      </c>
      <c r="F328">
        <f>IF(OR(B328="",NOT(ISNUMBER(D328))),"",IF(D328&lt;E328,"JA",""))</f>
        <v/>
      </c>
    </row>
    <row r="329">
      <c r="A329">
        <f>IFERROR(INDEX(tblStellplatz[Stellplatz],ROW()-1),"")</f>
        <v/>
      </c>
      <c r="B329">
        <f>IFERROR(INDEX(tblStellplatz[SAP],ROW()-1),"")</f>
        <v/>
      </c>
      <c r="C329">
        <f>IF(B329="","",IFERROR(INDEX(tblMaterial[Bezeichnung],MATCH(B329,tblMaterial[SAP],0)),"?"))</f>
        <v/>
      </c>
      <c r="D329">
        <f>IF(B329="","",IFERROR(INDEX(tblMaterial[Lagerstand],MATCH(B329,tblMaterial[SAP],0)),"?"))</f>
        <v/>
      </c>
      <c r="E329">
        <f>IF(B329="","",IFERROR(INDEX(tblMaterial[Meldebestand],MATCH(B329,tblMaterial[SAP],0)),"?"))</f>
        <v/>
      </c>
      <c r="F329">
        <f>IF(OR(B329="",NOT(ISNUMBER(D329))),"",IF(D329&lt;E329,"JA",""))</f>
        <v/>
      </c>
    </row>
    <row r="330">
      <c r="A330">
        <f>IFERROR(INDEX(tblStellplatz[Stellplatz],ROW()-1),"")</f>
        <v/>
      </c>
      <c r="B330">
        <f>IFERROR(INDEX(tblStellplatz[SAP],ROW()-1),"")</f>
        <v/>
      </c>
      <c r="C330">
        <f>IF(B330="","",IFERROR(INDEX(tblMaterial[Bezeichnung],MATCH(B330,tblMaterial[SAP],0)),"?"))</f>
        <v/>
      </c>
      <c r="D330">
        <f>IF(B330="","",IFERROR(INDEX(tblMaterial[Lagerstand],MATCH(B330,tblMaterial[SAP],0)),"?"))</f>
        <v/>
      </c>
      <c r="E330">
        <f>IF(B330="","",IFERROR(INDEX(tblMaterial[Meldebestand],MATCH(B330,tblMaterial[SAP],0)),"?"))</f>
        <v/>
      </c>
      <c r="F330">
        <f>IF(OR(B330="",NOT(ISNUMBER(D330))),"",IF(D330&lt;E330,"JA",""))</f>
        <v/>
      </c>
    </row>
    <row r="331">
      <c r="A331">
        <f>IFERROR(INDEX(tblStellplatz[Stellplatz],ROW()-1),"")</f>
        <v/>
      </c>
      <c r="B331">
        <f>IFERROR(INDEX(tblStellplatz[SAP],ROW()-1),"")</f>
        <v/>
      </c>
      <c r="C331">
        <f>IF(B331="","",IFERROR(INDEX(tblMaterial[Bezeichnung],MATCH(B331,tblMaterial[SAP],0)),"?"))</f>
        <v/>
      </c>
      <c r="D331">
        <f>IF(B331="","",IFERROR(INDEX(tblMaterial[Lagerstand],MATCH(B331,tblMaterial[SAP],0)),"?"))</f>
        <v/>
      </c>
      <c r="E331">
        <f>IF(B331="","",IFERROR(INDEX(tblMaterial[Meldebestand],MATCH(B331,tblMaterial[SAP],0)),"?"))</f>
        <v/>
      </c>
      <c r="F331">
        <f>IF(OR(B331="",NOT(ISNUMBER(D331))),"",IF(D331&lt;E331,"JA",""))</f>
        <v/>
      </c>
    </row>
    <row r="332">
      <c r="A332">
        <f>IFERROR(INDEX(tblStellplatz[Stellplatz],ROW()-1),"")</f>
        <v/>
      </c>
      <c r="B332">
        <f>IFERROR(INDEX(tblStellplatz[SAP],ROW()-1),"")</f>
        <v/>
      </c>
      <c r="C332">
        <f>IF(B332="","",IFERROR(INDEX(tblMaterial[Bezeichnung],MATCH(B332,tblMaterial[SAP],0)),"?"))</f>
        <v/>
      </c>
      <c r="D332">
        <f>IF(B332="","",IFERROR(INDEX(tblMaterial[Lagerstand],MATCH(B332,tblMaterial[SAP],0)),"?"))</f>
        <v/>
      </c>
      <c r="E332">
        <f>IF(B332="","",IFERROR(INDEX(tblMaterial[Meldebestand],MATCH(B332,tblMaterial[SAP],0)),"?"))</f>
        <v/>
      </c>
      <c r="F332">
        <f>IF(OR(B332="",NOT(ISNUMBER(D332))),"",IF(D332&lt;E332,"JA",""))</f>
        <v/>
      </c>
    </row>
    <row r="333">
      <c r="A333">
        <f>IFERROR(INDEX(tblStellplatz[Stellplatz],ROW()-1),"")</f>
        <v/>
      </c>
      <c r="B333">
        <f>IFERROR(INDEX(tblStellplatz[SAP],ROW()-1),"")</f>
        <v/>
      </c>
      <c r="C333">
        <f>IF(B333="","",IFERROR(INDEX(tblMaterial[Bezeichnung],MATCH(B333,tblMaterial[SAP],0)),"?"))</f>
        <v/>
      </c>
      <c r="D333">
        <f>IF(B333="","",IFERROR(INDEX(tblMaterial[Lagerstand],MATCH(B333,tblMaterial[SAP],0)),"?"))</f>
        <v/>
      </c>
      <c r="E333">
        <f>IF(B333="","",IFERROR(INDEX(tblMaterial[Meldebestand],MATCH(B333,tblMaterial[SAP],0)),"?"))</f>
        <v/>
      </c>
      <c r="F333">
        <f>IF(OR(B333="",NOT(ISNUMBER(D333))),"",IF(D333&lt;E333,"JA",""))</f>
        <v/>
      </c>
    </row>
    <row r="334">
      <c r="A334">
        <f>IFERROR(INDEX(tblStellplatz[Stellplatz],ROW()-1),"")</f>
        <v/>
      </c>
      <c r="B334">
        <f>IFERROR(INDEX(tblStellplatz[SAP],ROW()-1),"")</f>
        <v/>
      </c>
      <c r="C334">
        <f>IF(B334="","",IFERROR(INDEX(tblMaterial[Bezeichnung],MATCH(B334,tblMaterial[SAP],0)),"?"))</f>
        <v/>
      </c>
      <c r="D334">
        <f>IF(B334="","",IFERROR(INDEX(tblMaterial[Lagerstand],MATCH(B334,tblMaterial[SAP],0)),"?"))</f>
        <v/>
      </c>
      <c r="E334">
        <f>IF(B334="","",IFERROR(INDEX(tblMaterial[Meldebestand],MATCH(B334,tblMaterial[SAP],0)),"?"))</f>
        <v/>
      </c>
      <c r="F334">
        <f>IF(OR(B334="",NOT(ISNUMBER(D334))),"",IF(D334&lt;E334,"JA",""))</f>
        <v/>
      </c>
    </row>
    <row r="335">
      <c r="A335">
        <f>IFERROR(INDEX(tblStellplatz[Stellplatz],ROW()-1),"")</f>
        <v/>
      </c>
      <c r="B335">
        <f>IFERROR(INDEX(tblStellplatz[SAP],ROW()-1),"")</f>
        <v/>
      </c>
      <c r="C335">
        <f>IF(B335="","",IFERROR(INDEX(tblMaterial[Bezeichnung],MATCH(B335,tblMaterial[SAP],0)),"?"))</f>
        <v/>
      </c>
      <c r="D335">
        <f>IF(B335="","",IFERROR(INDEX(tblMaterial[Lagerstand],MATCH(B335,tblMaterial[SAP],0)),"?"))</f>
        <v/>
      </c>
      <c r="E335">
        <f>IF(B335="","",IFERROR(INDEX(tblMaterial[Meldebestand],MATCH(B335,tblMaterial[SAP],0)),"?"))</f>
        <v/>
      </c>
      <c r="F335">
        <f>IF(OR(B335="",NOT(ISNUMBER(D335))),"",IF(D335&lt;E335,"JA",""))</f>
        <v/>
      </c>
    </row>
    <row r="336">
      <c r="A336">
        <f>IFERROR(INDEX(tblStellplatz[Stellplatz],ROW()-1),"")</f>
        <v/>
      </c>
      <c r="B336">
        <f>IFERROR(INDEX(tblStellplatz[SAP],ROW()-1),"")</f>
        <v/>
      </c>
      <c r="C336">
        <f>IF(B336="","",IFERROR(INDEX(tblMaterial[Bezeichnung],MATCH(B336,tblMaterial[SAP],0)),"?"))</f>
        <v/>
      </c>
      <c r="D336">
        <f>IF(B336="","",IFERROR(INDEX(tblMaterial[Lagerstand],MATCH(B336,tblMaterial[SAP],0)),"?"))</f>
        <v/>
      </c>
      <c r="E336">
        <f>IF(B336="","",IFERROR(INDEX(tblMaterial[Meldebestand],MATCH(B336,tblMaterial[SAP],0)),"?"))</f>
        <v/>
      </c>
      <c r="F336">
        <f>IF(OR(B336="",NOT(ISNUMBER(D336))),"",IF(D336&lt;E336,"JA",""))</f>
        <v/>
      </c>
    </row>
    <row r="337">
      <c r="A337">
        <f>IFERROR(INDEX(tblStellplatz[Stellplatz],ROW()-1),"")</f>
        <v/>
      </c>
      <c r="B337">
        <f>IFERROR(INDEX(tblStellplatz[SAP],ROW()-1),"")</f>
        <v/>
      </c>
      <c r="C337">
        <f>IF(B337="","",IFERROR(INDEX(tblMaterial[Bezeichnung],MATCH(B337,tblMaterial[SAP],0)),"?"))</f>
        <v/>
      </c>
      <c r="D337">
        <f>IF(B337="","",IFERROR(INDEX(tblMaterial[Lagerstand],MATCH(B337,tblMaterial[SAP],0)),"?"))</f>
        <v/>
      </c>
      <c r="E337">
        <f>IF(B337="","",IFERROR(INDEX(tblMaterial[Meldebestand],MATCH(B337,tblMaterial[SAP],0)),"?"))</f>
        <v/>
      </c>
      <c r="F337">
        <f>IF(OR(B337="",NOT(ISNUMBER(D337))),"",IF(D337&lt;E337,"JA",""))</f>
        <v/>
      </c>
    </row>
    <row r="338">
      <c r="A338">
        <f>IFERROR(INDEX(tblStellplatz[Stellplatz],ROW()-1),"")</f>
        <v/>
      </c>
      <c r="B338">
        <f>IFERROR(INDEX(tblStellplatz[SAP],ROW()-1),"")</f>
        <v/>
      </c>
      <c r="C338">
        <f>IF(B338="","",IFERROR(INDEX(tblMaterial[Bezeichnung],MATCH(B338,tblMaterial[SAP],0)),"?"))</f>
        <v/>
      </c>
      <c r="D338">
        <f>IF(B338="","",IFERROR(INDEX(tblMaterial[Lagerstand],MATCH(B338,tblMaterial[SAP],0)),"?"))</f>
        <v/>
      </c>
      <c r="E338">
        <f>IF(B338="","",IFERROR(INDEX(tblMaterial[Meldebestand],MATCH(B338,tblMaterial[SAP],0)),"?"))</f>
        <v/>
      </c>
      <c r="F338">
        <f>IF(OR(B338="",NOT(ISNUMBER(D338))),"",IF(D338&lt;E338,"JA",""))</f>
        <v/>
      </c>
    </row>
    <row r="339">
      <c r="A339">
        <f>IFERROR(INDEX(tblStellplatz[Stellplatz],ROW()-1),"")</f>
        <v/>
      </c>
      <c r="B339">
        <f>IFERROR(INDEX(tblStellplatz[SAP],ROW()-1),"")</f>
        <v/>
      </c>
      <c r="C339">
        <f>IF(B339="","",IFERROR(INDEX(tblMaterial[Bezeichnung],MATCH(B339,tblMaterial[SAP],0)),"?"))</f>
        <v/>
      </c>
      <c r="D339">
        <f>IF(B339="","",IFERROR(INDEX(tblMaterial[Lagerstand],MATCH(B339,tblMaterial[SAP],0)),"?"))</f>
        <v/>
      </c>
      <c r="E339">
        <f>IF(B339="","",IFERROR(INDEX(tblMaterial[Meldebestand],MATCH(B339,tblMaterial[SAP],0)),"?"))</f>
        <v/>
      </c>
      <c r="F339">
        <f>IF(OR(B339="",NOT(ISNUMBER(D339))),"",IF(D339&lt;E339,"JA",""))</f>
        <v/>
      </c>
    </row>
    <row r="340">
      <c r="A340">
        <f>IFERROR(INDEX(tblStellplatz[Stellplatz],ROW()-1),"")</f>
        <v/>
      </c>
      <c r="B340">
        <f>IFERROR(INDEX(tblStellplatz[SAP],ROW()-1),"")</f>
        <v/>
      </c>
      <c r="C340">
        <f>IF(B340="","",IFERROR(INDEX(tblMaterial[Bezeichnung],MATCH(B340,tblMaterial[SAP],0)),"?"))</f>
        <v/>
      </c>
      <c r="D340">
        <f>IF(B340="","",IFERROR(INDEX(tblMaterial[Lagerstand],MATCH(B340,tblMaterial[SAP],0)),"?"))</f>
        <v/>
      </c>
      <c r="E340">
        <f>IF(B340="","",IFERROR(INDEX(tblMaterial[Meldebestand],MATCH(B340,tblMaterial[SAP],0)),"?"))</f>
        <v/>
      </c>
      <c r="F340">
        <f>IF(OR(B340="",NOT(ISNUMBER(D340))),"",IF(D340&lt;E340,"JA",""))</f>
        <v/>
      </c>
    </row>
    <row r="341">
      <c r="A341">
        <f>IFERROR(INDEX(tblStellplatz[Stellplatz],ROW()-1),"")</f>
        <v/>
      </c>
      <c r="B341">
        <f>IFERROR(INDEX(tblStellplatz[SAP],ROW()-1),"")</f>
        <v/>
      </c>
      <c r="C341">
        <f>IF(B341="","",IFERROR(INDEX(tblMaterial[Bezeichnung],MATCH(B341,tblMaterial[SAP],0)),"?"))</f>
        <v/>
      </c>
      <c r="D341">
        <f>IF(B341="","",IFERROR(INDEX(tblMaterial[Lagerstand],MATCH(B341,tblMaterial[SAP],0)),"?"))</f>
        <v/>
      </c>
      <c r="E341">
        <f>IF(B341="","",IFERROR(INDEX(tblMaterial[Meldebestand],MATCH(B341,tblMaterial[SAP],0)),"?"))</f>
        <v/>
      </c>
      <c r="F341">
        <f>IF(OR(B341="",NOT(ISNUMBER(D341))),"",IF(D341&lt;E341,"JA",""))</f>
        <v/>
      </c>
    </row>
    <row r="342">
      <c r="A342">
        <f>IFERROR(INDEX(tblStellplatz[Stellplatz],ROW()-1),"")</f>
        <v/>
      </c>
      <c r="B342">
        <f>IFERROR(INDEX(tblStellplatz[SAP],ROW()-1),"")</f>
        <v/>
      </c>
      <c r="C342">
        <f>IF(B342="","",IFERROR(INDEX(tblMaterial[Bezeichnung],MATCH(B342,tblMaterial[SAP],0)),"?"))</f>
        <v/>
      </c>
      <c r="D342">
        <f>IF(B342="","",IFERROR(INDEX(tblMaterial[Lagerstand],MATCH(B342,tblMaterial[SAP],0)),"?"))</f>
        <v/>
      </c>
      <c r="E342">
        <f>IF(B342="","",IFERROR(INDEX(tblMaterial[Meldebestand],MATCH(B342,tblMaterial[SAP],0)),"?"))</f>
        <v/>
      </c>
      <c r="F342">
        <f>IF(OR(B342="",NOT(ISNUMBER(D342))),"",IF(D342&lt;E342,"JA",""))</f>
        <v/>
      </c>
    </row>
    <row r="343">
      <c r="A343">
        <f>IFERROR(INDEX(tblStellplatz[Stellplatz],ROW()-1),"")</f>
        <v/>
      </c>
      <c r="B343">
        <f>IFERROR(INDEX(tblStellplatz[SAP],ROW()-1),"")</f>
        <v/>
      </c>
      <c r="C343">
        <f>IF(B343="","",IFERROR(INDEX(tblMaterial[Bezeichnung],MATCH(B343,tblMaterial[SAP],0)),"?"))</f>
        <v/>
      </c>
      <c r="D343">
        <f>IF(B343="","",IFERROR(INDEX(tblMaterial[Lagerstand],MATCH(B343,tblMaterial[SAP],0)),"?"))</f>
        <v/>
      </c>
      <c r="E343">
        <f>IF(B343="","",IFERROR(INDEX(tblMaterial[Meldebestand],MATCH(B343,tblMaterial[SAP],0)),"?"))</f>
        <v/>
      </c>
      <c r="F343">
        <f>IF(OR(B343="",NOT(ISNUMBER(D343))),"",IF(D343&lt;E343,"JA",""))</f>
        <v/>
      </c>
    </row>
    <row r="344">
      <c r="A344">
        <f>IFERROR(INDEX(tblStellplatz[Stellplatz],ROW()-1),"")</f>
        <v/>
      </c>
      <c r="B344">
        <f>IFERROR(INDEX(tblStellplatz[SAP],ROW()-1),"")</f>
        <v/>
      </c>
      <c r="C344">
        <f>IF(B344="","",IFERROR(INDEX(tblMaterial[Bezeichnung],MATCH(B344,tblMaterial[SAP],0)),"?"))</f>
        <v/>
      </c>
      <c r="D344">
        <f>IF(B344="","",IFERROR(INDEX(tblMaterial[Lagerstand],MATCH(B344,tblMaterial[SAP],0)),"?"))</f>
        <v/>
      </c>
      <c r="E344">
        <f>IF(B344="","",IFERROR(INDEX(tblMaterial[Meldebestand],MATCH(B344,tblMaterial[SAP],0)),"?"))</f>
        <v/>
      </c>
      <c r="F344">
        <f>IF(OR(B344="",NOT(ISNUMBER(D344))),"",IF(D344&lt;E344,"JA",""))</f>
        <v/>
      </c>
    </row>
    <row r="345">
      <c r="A345">
        <f>IFERROR(INDEX(tblStellplatz[Stellplatz],ROW()-1),"")</f>
        <v/>
      </c>
      <c r="B345">
        <f>IFERROR(INDEX(tblStellplatz[SAP],ROW()-1),"")</f>
        <v/>
      </c>
      <c r="C345">
        <f>IF(B345="","",IFERROR(INDEX(tblMaterial[Bezeichnung],MATCH(B345,tblMaterial[SAP],0)),"?"))</f>
        <v/>
      </c>
      <c r="D345">
        <f>IF(B345="","",IFERROR(INDEX(tblMaterial[Lagerstand],MATCH(B345,tblMaterial[SAP],0)),"?"))</f>
        <v/>
      </c>
      <c r="E345">
        <f>IF(B345="","",IFERROR(INDEX(tblMaterial[Meldebestand],MATCH(B345,tblMaterial[SAP],0)),"?"))</f>
        <v/>
      </c>
      <c r="F345">
        <f>IF(OR(B345="",NOT(ISNUMBER(D345))),"",IF(D345&lt;E345,"JA",""))</f>
        <v/>
      </c>
    </row>
    <row r="346">
      <c r="A346">
        <f>IFERROR(INDEX(tblStellplatz[Stellplatz],ROW()-1),"")</f>
        <v/>
      </c>
      <c r="B346">
        <f>IFERROR(INDEX(tblStellplatz[SAP],ROW()-1),"")</f>
        <v/>
      </c>
      <c r="C346">
        <f>IF(B346="","",IFERROR(INDEX(tblMaterial[Bezeichnung],MATCH(B346,tblMaterial[SAP],0)),"?"))</f>
        <v/>
      </c>
      <c r="D346">
        <f>IF(B346="","",IFERROR(INDEX(tblMaterial[Lagerstand],MATCH(B346,tblMaterial[SAP],0)),"?"))</f>
        <v/>
      </c>
      <c r="E346">
        <f>IF(B346="","",IFERROR(INDEX(tblMaterial[Meldebestand],MATCH(B346,tblMaterial[SAP],0)),"?"))</f>
        <v/>
      </c>
      <c r="F346">
        <f>IF(OR(B346="",NOT(ISNUMBER(D346))),"",IF(D346&lt;E346,"JA",""))</f>
        <v/>
      </c>
    </row>
    <row r="347">
      <c r="A347">
        <f>IFERROR(INDEX(tblStellplatz[Stellplatz],ROW()-1),"")</f>
        <v/>
      </c>
      <c r="B347">
        <f>IFERROR(INDEX(tblStellplatz[SAP],ROW()-1),"")</f>
        <v/>
      </c>
      <c r="C347">
        <f>IF(B347="","",IFERROR(INDEX(tblMaterial[Bezeichnung],MATCH(B347,tblMaterial[SAP],0)),"?"))</f>
        <v/>
      </c>
      <c r="D347">
        <f>IF(B347="","",IFERROR(INDEX(tblMaterial[Lagerstand],MATCH(B347,tblMaterial[SAP],0)),"?"))</f>
        <v/>
      </c>
      <c r="E347">
        <f>IF(B347="","",IFERROR(INDEX(tblMaterial[Meldebestand],MATCH(B347,tblMaterial[SAP],0)),"?"))</f>
        <v/>
      </c>
      <c r="F347">
        <f>IF(OR(B347="",NOT(ISNUMBER(D347))),"",IF(D347&lt;E347,"JA",""))</f>
        <v/>
      </c>
    </row>
    <row r="348">
      <c r="A348">
        <f>IFERROR(INDEX(tblStellplatz[Stellplatz],ROW()-1),"")</f>
        <v/>
      </c>
      <c r="B348">
        <f>IFERROR(INDEX(tblStellplatz[SAP],ROW()-1),"")</f>
        <v/>
      </c>
      <c r="C348">
        <f>IF(B348="","",IFERROR(INDEX(tblMaterial[Bezeichnung],MATCH(B348,tblMaterial[SAP],0)),"?"))</f>
        <v/>
      </c>
      <c r="D348">
        <f>IF(B348="","",IFERROR(INDEX(tblMaterial[Lagerstand],MATCH(B348,tblMaterial[SAP],0)),"?"))</f>
        <v/>
      </c>
      <c r="E348">
        <f>IF(B348="","",IFERROR(INDEX(tblMaterial[Meldebestand],MATCH(B348,tblMaterial[SAP],0)),"?"))</f>
        <v/>
      </c>
      <c r="F348">
        <f>IF(OR(B348="",NOT(ISNUMBER(D348))),"",IF(D348&lt;E348,"JA",""))</f>
        <v/>
      </c>
    </row>
    <row r="349">
      <c r="A349">
        <f>IFERROR(INDEX(tblStellplatz[Stellplatz],ROW()-1),"")</f>
        <v/>
      </c>
      <c r="B349">
        <f>IFERROR(INDEX(tblStellplatz[SAP],ROW()-1),"")</f>
        <v/>
      </c>
      <c r="C349">
        <f>IF(B349="","",IFERROR(INDEX(tblMaterial[Bezeichnung],MATCH(B349,tblMaterial[SAP],0)),"?"))</f>
        <v/>
      </c>
      <c r="D349">
        <f>IF(B349="","",IFERROR(INDEX(tblMaterial[Lagerstand],MATCH(B349,tblMaterial[SAP],0)),"?"))</f>
        <v/>
      </c>
      <c r="E349">
        <f>IF(B349="","",IFERROR(INDEX(tblMaterial[Meldebestand],MATCH(B349,tblMaterial[SAP],0)),"?"))</f>
        <v/>
      </c>
      <c r="F349">
        <f>IF(OR(B349="",NOT(ISNUMBER(D349))),"",IF(D349&lt;E349,"JA",""))</f>
        <v/>
      </c>
    </row>
    <row r="350">
      <c r="A350">
        <f>IFERROR(INDEX(tblStellplatz[Stellplatz],ROW()-1),"")</f>
        <v/>
      </c>
      <c r="B350">
        <f>IFERROR(INDEX(tblStellplatz[SAP],ROW()-1),"")</f>
        <v/>
      </c>
      <c r="C350">
        <f>IF(B350="","",IFERROR(INDEX(tblMaterial[Bezeichnung],MATCH(B350,tblMaterial[SAP],0)),"?"))</f>
        <v/>
      </c>
      <c r="D350">
        <f>IF(B350="","",IFERROR(INDEX(tblMaterial[Lagerstand],MATCH(B350,tblMaterial[SAP],0)),"?"))</f>
        <v/>
      </c>
      <c r="E350">
        <f>IF(B350="","",IFERROR(INDEX(tblMaterial[Meldebestand],MATCH(B350,tblMaterial[SAP],0)),"?"))</f>
        <v/>
      </c>
      <c r="F350">
        <f>IF(OR(B350="",NOT(ISNUMBER(D350))),"",IF(D350&lt;E350,"JA",""))</f>
        <v/>
      </c>
    </row>
    <row r="351">
      <c r="A351">
        <f>IFERROR(INDEX(tblStellplatz[Stellplatz],ROW()-1),"")</f>
        <v/>
      </c>
      <c r="B351">
        <f>IFERROR(INDEX(tblStellplatz[SAP],ROW()-1),"")</f>
        <v/>
      </c>
      <c r="C351">
        <f>IF(B351="","",IFERROR(INDEX(tblMaterial[Bezeichnung],MATCH(B351,tblMaterial[SAP],0)),"?"))</f>
        <v/>
      </c>
      <c r="D351">
        <f>IF(B351="","",IFERROR(INDEX(tblMaterial[Lagerstand],MATCH(B351,tblMaterial[SAP],0)),"?"))</f>
        <v/>
      </c>
      <c r="E351">
        <f>IF(B351="","",IFERROR(INDEX(tblMaterial[Meldebestand],MATCH(B351,tblMaterial[SAP],0)),"?"))</f>
        <v/>
      </c>
      <c r="F351">
        <f>IF(OR(B351="",NOT(ISNUMBER(D351))),"",IF(D351&lt;E351,"JA",""))</f>
        <v/>
      </c>
    </row>
    <row r="352">
      <c r="A352">
        <f>IFERROR(INDEX(tblStellplatz[Stellplatz],ROW()-1),"")</f>
        <v/>
      </c>
      <c r="B352">
        <f>IFERROR(INDEX(tblStellplatz[SAP],ROW()-1),"")</f>
        <v/>
      </c>
      <c r="C352">
        <f>IF(B352="","",IFERROR(INDEX(tblMaterial[Bezeichnung],MATCH(B352,tblMaterial[SAP],0)),"?"))</f>
        <v/>
      </c>
      <c r="D352">
        <f>IF(B352="","",IFERROR(INDEX(tblMaterial[Lagerstand],MATCH(B352,tblMaterial[SAP],0)),"?"))</f>
        <v/>
      </c>
      <c r="E352">
        <f>IF(B352="","",IFERROR(INDEX(tblMaterial[Meldebestand],MATCH(B352,tblMaterial[SAP],0)),"?"))</f>
        <v/>
      </c>
      <c r="F352">
        <f>IF(OR(B352="",NOT(ISNUMBER(D352))),"",IF(D352&lt;E352,"JA",""))</f>
        <v/>
      </c>
    </row>
    <row r="353">
      <c r="A353">
        <f>IFERROR(INDEX(tblStellplatz[Stellplatz],ROW()-1),"")</f>
        <v/>
      </c>
      <c r="B353">
        <f>IFERROR(INDEX(tblStellplatz[SAP],ROW()-1),"")</f>
        <v/>
      </c>
      <c r="C353">
        <f>IF(B353="","",IFERROR(INDEX(tblMaterial[Bezeichnung],MATCH(B353,tblMaterial[SAP],0)),"?"))</f>
        <v/>
      </c>
      <c r="D353">
        <f>IF(B353="","",IFERROR(INDEX(tblMaterial[Lagerstand],MATCH(B353,tblMaterial[SAP],0)),"?"))</f>
        <v/>
      </c>
      <c r="E353">
        <f>IF(B353="","",IFERROR(INDEX(tblMaterial[Meldebestand],MATCH(B353,tblMaterial[SAP],0)),"?"))</f>
        <v/>
      </c>
      <c r="F353">
        <f>IF(OR(B353="",NOT(ISNUMBER(D353))),"",IF(D353&lt;E353,"JA",""))</f>
        <v/>
      </c>
    </row>
    <row r="354">
      <c r="A354">
        <f>IFERROR(INDEX(tblStellplatz[Stellplatz],ROW()-1),"")</f>
        <v/>
      </c>
      <c r="B354">
        <f>IFERROR(INDEX(tblStellplatz[SAP],ROW()-1),"")</f>
        <v/>
      </c>
      <c r="C354">
        <f>IF(B354="","",IFERROR(INDEX(tblMaterial[Bezeichnung],MATCH(B354,tblMaterial[SAP],0)),"?"))</f>
        <v/>
      </c>
      <c r="D354">
        <f>IF(B354="","",IFERROR(INDEX(tblMaterial[Lagerstand],MATCH(B354,tblMaterial[SAP],0)),"?"))</f>
        <v/>
      </c>
      <c r="E354">
        <f>IF(B354="","",IFERROR(INDEX(tblMaterial[Meldebestand],MATCH(B354,tblMaterial[SAP],0)),"?"))</f>
        <v/>
      </c>
      <c r="F354">
        <f>IF(OR(B354="",NOT(ISNUMBER(D354))),"",IF(D354&lt;E354,"JA",""))</f>
        <v/>
      </c>
    </row>
    <row r="355">
      <c r="A355">
        <f>IFERROR(INDEX(tblStellplatz[Stellplatz],ROW()-1),"")</f>
        <v/>
      </c>
      <c r="B355">
        <f>IFERROR(INDEX(tblStellplatz[SAP],ROW()-1),"")</f>
        <v/>
      </c>
      <c r="C355">
        <f>IF(B355="","",IFERROR(INDEX(tblMaterial[Bezeichnung],MATCH(B355,tblMaterial[SAP],0)),"?"))</f>
        <v/>
      </c>
      <c r="D355">
        <f>IF(B355="","",IFERROR(INDEX(tblMaterial[Lagerstand],MATCH(B355,tblMaterial[SAP],0)),"?"))</f>
        <v/>
      </c>
      <c r="E355">
        <f>IF(B355="","",IFERROR(INDEX(tblMaterial[Meldebestand],MATCH(B355,tblMaterial[SAP],0)),"?"))</f>
        <v/>
      </c>
      <c r="F355">
        <f>IF(OR(B355="",NOT(ISNUMBER(D355))),"",IF(D355&lt;E355,"JA",""))</f>
        <v/>
      </c>
    </row>
    <row r="356">
      <c r="A356">
        <f>IFERROR(INDEX(tblStellplatz[Stellplatz],ROW()-1),"")</f>
        <v/>
      </c>
      <c r="B356">
        <f>IFERROR(INDEX(tblStellplatz[SAP],ROW()-1),"")</f>
        <v/>
      </c>
      <c r="C356">
        <f>IF(B356="","",IFERROR(INDEX(tblMaterial[Bezeichnung],MATCH(B356,tblMaterial[SAP],0)),"?"))</f>
        <v/>
      </c>
      <c r="D356">
        <f>IF(B356="","",IFERROR(INDEX(tblMaterial[Lagerstand],MATCH(B356,tblMaterial[SAP],0)),"?"))</f>
        <v/>
      </c>
      <c r="E356">
        <f>IF(B356="","",IFERROR(INDEX(tblMaterial[Meldebestand],MATCH(B356,tblMaterial[SAP],0)),"?"))</f>
        <v/>
      </c>
      <c r="F356">
        <f>IF(OR(B356="",NOT(ISNUMBER(D356))),"",IF(D356&lt;E356,"JA",""))</f>
        <v/>
      </c>
    </row>
    <row r="357">
      <c r="A357">
        <f>IFERROR(INDEX(tblStellplatz[Stellplatz],ROW()-1),"")</f>
        <v/>
      </c>
      <c r="B357">
        <f>IFERROR(INDEX(tblStellplatz[SAP],ROW()-1),"")</f>
        <v/>
      </c>
      <c r="C357">
        <f>IF(B357="","",IFERROR(INDEX(tblMaterial[Bezeichnung],MATCH(B357,tblMaterial[SAP],0)),"?"))</f>
        <v/>
      </c>
      <c r="D357">
        <f>IF(B357="","",IFERROR(INDEX(tblMaterial[Lagerstand],MATCH(B357,tblMaterial[SAP],0)),"?"))</f>
        <v/>
      </c>
      <c r="E357">
        <f>IF(B357="","",IFERROR(INDEX(tblMaterial[Meldebestand],MATCH(B357,tblMaterial[SAP],0)),"?"))</f>
        <v/>
      </c>
      <c r="F357">
        <f>IF(OR(B357="",NOT(ISNUMBER(D357))),"",IF(D357&lt;E357,"JA",""))</f>
        <v/>
      </c>
    </row>
    <row r="358">
      <c r="A358">
        <f>IFERROR(INDEX(tblStellplatz[Stellplatz],ROW()-1),"")</f>
        <v/>
      </c>
      <c r="B358">
        <f>IFERROR(INDEX(tblStellplatz[SAP],ROW()-1),"")</f>
        <v/>
      </c>
      <c r="C358">
        <f>IF(B358="","",IFERROR(INDEX(tblMaterial[Bezeichnung],MATCH(B358,tblMaterial[SAP],0)),"?"))</f>
        <v/>
      </c>
      <c r="D358">
        <f>IF(B358="","",IFERROR(INDEX(tblMaterial[Lagerstand],MATCH(B358,tblMaterial[SAP],0)),"?"))</f>
        <v/>
      </c>
      <c r="E358">
        <f>IF(B358="","",IFERROR(INDEX(tblMaterial[Meldebestand],MATCH(B358,tblMaterial[SAP],0)),"?"))</f>
        <v/>
      </c>
      <c r="F358">
        <f>IF(OR(B358="",NOT(ISNUMBER(D358))),"",IF(D358&lt;E358,"JA",""))</f>
        <v/>
      </c>
    </row>
    <row r="359">
      <c r="A359">
        <f>IFERROR(INDEX(tblStellplatz[Stellplatz],ROW()-1),"")</f>
        <v/>
      </c>
      <c r="B359">
        <f>IFERROR(INDEX(tblStellplatz[SAP],ROW()-1),"")</f>
        <v/>
      </c>
      <c r="C359">
        <f>IF(B359="","",IFERROR(INDEX(tblMaterial[Bezeichnung],MATCH(B359,tblMaterial[SAP],0)),"?"))</f>
        <v/>
      </c>
      <c r="D359">
        <f>IF(B359="","",IFERROR(INDEX(tblMaterial[Lagerstand],MATCH(B359,tblMaterial[SAP],0)),"?"))</f>
        <v/>
      </c>
      <c r="E359">
        <f>IF(B359="","",IFERROR(INDEX(tblMaterial[Meldebestand],MATCH(B359,tblMaterial[SAP],0)),"?"))</f>
        <v/>
      </c>
      <c r="F359">
        <f>IF(OR(B359="",NOT(ISNUMBER(D359))),"",IF(D359&lt;E359,"JA",""))</f>
        <v/>
      </c>
    </row>
    <row r="360">
      <c r="A360">
        <f>IFERROR(INDEX(tblStellplatz[Stellplatz],ROW()-1),"")</f>
        <v/>
      </c>
      <c r="B360">
        <f>IFERROR(INDEX(tblStellplatz[SAP],ROW()-1),"")</f>
        <v/>
      </c>
      <c r="C360">
        <f>IF(B360="","",IFERROR(INDEX(tblMaterial[Bezeichnung],MATCH(B360,tblMaterial[SAP],0)),"?"))</f>
        <v/>
      </c>
      <c r="D360">
        <f>IF(B360="","",IFERROR(INDEX(tblMaterial[Lagerstand],MATCH(B360,tblMaterial[SAP],0)),"?"))</f>
        <v/>
      </c>
      <c r="E360">
        <f>IF(B360="","",IFERROR(INDEX(tblMaterial[Meldebestand],MATCH(B360,tblMaterial[SAP],0)),"?"))</f>
        <v/>
      </c>
      <c r="F360">
        <f>IF(OR(B360="",NOT(ISNUMBER(D360))),"",IF(D360&lt;E360,"JA",""))</f>
        <v/>
      </c>
    </row>
    <row r="361">
      <c r="A361">
        <f>IFERROR(INDEX(tblStellplatz[Stellplatz],ROW()-1),"")</f>
        <v/>
      </c>
      <c r="B361">
        <f>IFERROR(INDEX(tblStellplatz[SAP],ROW()-1),"")</f>
        <v/>
      </c>
      <c r="C361">
        <f>IF(B361="","",IFERROR(INDEX(tblMaterial[Bezeichnung],MATCH(B361,tblMaterial[SAP],0)),"?"))</f>
        <v/>
      </c>
      <c r="D361">
        <f>IF(B361="","",IFERROR(INDEX(tblMaterial[Lagerstand],MATCH(B361,tblMaterial[SAP],0)),"?"))</f>
        <v/>
      </c>
      <c r="E361">
        <f>IF(B361="","",IFERROR(INDEX(tblMaterial[Meldebestand],MATCH(B361,tblMaterial[SAP],0)),"?"))</f>
        <v/>
      </c>
      <c r="F361">
        <f>IF(OR(B361="",NOT(ISNUMBER(D361))),"",IF(D361&lt;E361,"JA",""))</f>
        <v/>
      </c>
    </row>
    <row r="362">
      <c r="A362">
        <f>IFERROR(INDEX(tblStellplatz[Stellplatz],ROW()-1),"")</f>
        <v/>
      </c>
      <c r="B362">
        <f>IFERROR(INDEX(tblStellplatz[SAP],ROW()-1),"")</f>
        <v/>
      </c>
      <c r="C362">
        <f>IF(B362="","",IFERROR(INDEX(tblMaterial[Bezeichnung],MATCH(B362,tblMaterial[SAP],0)),"?"))</f>
        <v/>
      </c>
      <c r="D362">
        <f>IF(B362="","",IFERROR(INDEX(tblMaterial[Lagerstand],MATCH(B362,tblMaterial[SAP],0)),"?"))</f>
        <v/>
      </c>
      <c r="E362">
        <f>IF(B362="","",IFERROR(INDEX(tblMaterial[Meldebestand],MATCH(B362,tblMaterial[SAP],0)),"?"))</f>
        <v/>
      </c>
      <c r="F362">
        <f>IF(OR(B362="",NOT(ISNUMBER(D362))),"",IF(D362&lt;E362,"JA",""))</f>
        <v/>
      </c>
    </row>
    <row r="363">
      <c r="A363">
        <f>IFERROR(INDEX(tblStellplatz[Stellplatz],ROW()-1),"")</f>
        <v/>
      </c>
      <c r="B363">
        <f>IFERROR(INDEX(tblStellplatz[SAP],ROW()-1),"")</f>
        <v/>
      </c>
      <c r="C363">
        <f>IF(B363="","",IFERROR(INDEX(tblMaterial[Bezeichnung],MATCH(B363,tblMaterial[SAP],0)),"?"))</f>
        <v/>
      </c>
      <c r="D363">
        <f>IF(B363="","",IFERROR(INDEX(tblMaterial[Lagerstand],MATCH(B363,tblMaterial[SAP],0)),"?"))</f>
        <v/>
      </c>
      <c r="E363">
        <f>IF(B363="","",IFERROR(INDEX(tblMaterial[Meldebestand],MATCH(B363,tblMaterial[SAP],0)),"?"))</f>
        <v/>
      </c>
      <c r="F363">
        <f>IF(OR(B363="",NOT(ISNUMBER(D363))),"",IF(D363&lt;E363,"JA",""))</f>
        <v/>
      </c>
    </row>
    <row r="364">
      <c r="A364">
        <f>IFERROR(INDEX(tblStellplatz[Stellplatz],ROW()-1),"")</f>
        <v/>
      </c>
      <c r="B364">
        <f>IFERROR(INDEX(tblStellplatz[SAP],ROW()-1),"")</f>
        <v/>
      </c>
      <c r="C364">
        <f>IF(B364="","",IFERROR(INDEX(tblMaterial[Bezeichnung],MATCH(B364,tblMaterial[SAP],0)),"?"))</f>
        <v/>
      </c>
      <c r="D364">
        <f>IF(B364="","",IFERROR(INDEX(tblMaterial[Lagerstand],MATCH(B364,tblMaterial[SAP],0)),"?"))</f>
        <v/>
      </c>
      <c r="E364">
        <f>IF(B364="","",IFERROR(INDEX(tblMaterial[Meldebestand],MATCH(B364,tblMaterial[SAP],0)),"?"))</f>
        <v/>
      </c>
      <c r="F364">
        <f>IF(OR(B364="",NOT(ISNUMBER(D364))),"",IF(D364&lt;E364,"JA",""))</f>
        <v/>
      </c>
    </row>
    <row r="365">
      <c r="A365">
        <f>IFERROR(INDEX(tblStellplatz[Stellplatz],ROW()-1),"")</f>
        <v/>
      </c>
      <c r="B365">
        <f>IFERROR(INDEX(tblStellplatz[SAP],ROW()-1),"")</f>
        <v/>
      </c>
      <c r="C365">
        <f>IF(B365="","",IFERROR(INDEX(tblMaterial[Bezeichnung],MATCH(B365,tblMaterial[SAP],0)),"?"))</f>
        <v/>
      </c>
      <c r="D365">
        <f>IF(B365="","",IFERROR(INDEX(tblMaterial[Lagerstand],MATCH(B365,tblMaterial[SAP],0)),"?"))</f>
        <v/>
      </c>
      <c r="E365">
        <f>IF(B365="","",IFERROR(INDEX(tblMaterial[Meldebestand],MATCH(B365,tblMaterial[SAP],0)),"?"))</f>
        <v/>
      </c>
      <c r="F365">
        <f>IF(OR(B365="",NOT(ISNUMBER(D365))),"",IF(D365&lt;E365,"JA",""))</f>
        <v/>
      </c>
    </row>
    <row r="366">
      <c r="A366">
        <f>IFERROR(INDEX(tblStellplatz[Stellplatz],ROW()-1),"")</f>
        <v/>
      </c>
      <c r="B366">
        <f>IFERROR(INDEX(tblStellplatz[SAP],ROW()-1),"")</f>
        <v/>
      </c>
      <c r="C366">
        <f>IF(B366="","",IFERROR(INDEX(tblMaterial[Bezeichnung],MATCH(B366,tblMaterial[SAP],0)),"?"))</f>
        <v/>
      </c>
      <c r="D366">
        <f>IF(B366="","",IFERROR(INDEX(tblMaterial[Lagerstand],MATCH(B366,tblMaterial[SAP],0)),"?"))</f>
        <v/>
      </c>
      <c r="E366">
        <f>IF(B366="","",IFERROR(INDEX(tblMaterial[Meldebestand],MATCH(B366,tblMaterial[SAP],0)),"?"))</f>
        <v/>
      </c>
      <c r="F366">
        <f>IF(OR(B366="",NOT(ISNUMBER(D366))),"",IF(D366&lt;E366,"JA",""))</f>
        <v/>
      </c>
    </row>
    <row r="367">
      <c r="A367">
        <f>IFERROR(INDEX(tblStellplatz[Stellplatz],ROW()-1),"")</f>
        <v/>
      </c>
      <c r="B367">
        <f>IFERROR(INDEX(tblStellplatz[SAP],ROW()-1),"")</f>
        <v/>
      </c>
      <c r="C367">
        <f>IF(B367="","",IFERROR(INDEX(tblMaterial[Bezeichnung],MATCH(B367,tblMaterial[SAP],0)),"?"))</f>
        <v/>
      </c>
      <c r="D367">
        <f>IF(B367="","",IFERROR(INDEX(tblMaterial[Lagerstand],MATCH(B367,tblMaterial[SAP],0)),"?"))</f>
        <v/>
      </c>
      <c r="E367">
        <f>IF(B367="","",IFERROR(INDEX(tblMaterial[Meldebestand],MATCH(B367,tblMaterial[SAP],0)),"?"))</f>
        <v/>
      </c>
      <c r="F367">
        <f>IF(OR(B367="",NOT(ISNUMBER(D367))),"",IF(D367&lt;E367,"JA",""))</f>
        <v/>
      </c>
    </row>
    <row r="368">
      <c r="A368">
        <f>IFERROR(INDEX(tblStellplatz[Stellplatz],ROW()-1),"")</f>
        <v/>
      </c>
      <c r="B368">
        <f>IFERROR(INDEX(tblStellplatz[SAP],ROW()-1),"")</f>
        <v/>
      </c>
      <c r="C368">
        <f>IF(B368="","",IFERROR(INDEX(tblMaterial[Bezeichnung],MATCH(B368,tblMaterial[SAP],0)),"?"))</f>
        <v/>
      </c>
      <c r="D368">
        <f>IF(B368="","",IFERROR(INDEX(tblMaterial[Lagerstand],MATCH(B368,tblMaterial[SAP],0)),"?"))</f>
        <v/>
      </c>
      <c r="E368">
        <f>IF(B368="","",IFERROR(INDEX(tblMaterial[Meldebestand],MATCH(B368,tblMaterial[SAP],0)),"?"))</f>
        <v/>
      </c>
      <c r="F368">
        <f>IF(OR(B368="",NOT(ISNUMBER(D368))),"",IF(D368&lt;E368,"JA",""))</f>
        <v/>
      </c>
    </row>
    <row r="369">
      <c r="A369">
        <f>IFERROR(INDEX(tblStellplatz[Stellplatz],ROW()-1),"")</f>
        <v/>
      </c>
      <c r="B369">
        <f>IFERROR(INDEX(tblStellplatz[SAP],ROW()-1),"")</f>
        <v/>
      </c>
      <c r="C369">
        <f>IF(B369="","",IFERROR(INDEX(tblMaterial[Bezeichnung],MATCH(B369,tblMaterial[SAP],0)),"?"))</f>
        <v/>
      </c>
      <c r="D369">
        <f>IF(B369="","",IFERROR(INDEX(tblMaterial[Lagerstand],MATCH(B369,tblMaterial[SAP],0)),"?"))</f>
        <v/>
      </c>
      <c r="E369">
        <f>IF(B369="","",IFERROR(INDEX(tblMaterial[Meldebestand],MATCH(B369,tblMaterial[SAP],0)),"?"))</f>
        <v/>
      </c>
      <c r="F369">
        <f>IF(OR(B369="",NOT(ISNUMBER(D369))),"",IF(D369&lt;E369,"JA",""))</f>
        <v/>
      </c>
    </row>
    <row r="370">
      <c r="A370">
        <f>IFERROR(INDEX(tblStellplatz[Stellplatz],ROW()-1),"")</f>
        <v/>
      </c>
      <c r="B370">
        <f>IFERROR(INDEX(tblStellplatz[SAP],ROW()-1),"")</f>
        <v/>
      </c>
      <c r="C370">
        <f>IF(B370="","",IFERROR(INDEX(tblMaterial[Bezeichnung],MATCH(B370,tblMaterial[SAP],0)),"?"))</f>
        <v/>
      </c>
      <c r="D370">
        <f>IF(B370="","",IFERROR(INDEX(tblMaterial[Lagerstand],MATCH(B370,tblMaterial[SAP],0)),"?"))</f>
        <v/>
      </c>
      <c r="E370">
        <f>IF(B370="","",IFERROR(INDEX(tblMaterial[Meldebestand],MATCH(B370,tblMaterial[SAP],0)),"?"))</f>
        <v/>
      </c>
      <c r="F370">
        <f>IF(OR(B370="",NOT(ISNUMBER(D370))),"",IF(D370&lt;E370,"JA",""))</f>
        <v/>
      </c>
    </row>
    <row r="371">
      <c r="A371">
        <f>IFERROR(INDEX(tblStellplatz[Stellplatz],ROW()-1),"")</f>
        <v/>
      </c>
      <c r="B371">
        <f>IFERROR(INDEX(tblStellplatz[SAP],ROW()-1),"")</f>
        <v/>
      </c>
      <c r="C371">
        <f>IF(B371="","",IFERROR(INDEX(tblMaterial[Bezeichnung],MATCH(B371,tblMaterial[SAP],0)),"?"))</f>
        <v/>
      </c>
      <c r="D371">
        <f>IF(B371="","",IFERROR(INDEX(tblMaterial[Lagerstand],MATCH(B371,tblMaterial[SAP],0)),"?"))</f>
        <v/>
      </c>
      <c r="E371">
        <f>IF(B371="","",IFERROR(INDEX(tblMaterial[Meldebestand],MATCH(B371,tblMaterial[SAP],0)),"?"))</f>
        <v/>
      </c>
      <c r="F371">
        <f>IF(OR(B371="",NOT(ISNUMBER(D371))),"",IF(D371&lt;E371,"JA",""))</f>
        <v/>
      </c>
    </row>
    <row r="372">
      <c r="A372">
        <f>IFERROR(INDEX(tblStellplatz[Stellplatz],ROW()-1),"")</f>
        <v/>
      </c>
      <c r="B372">
        <f>IFERROR(INDEX(tblStellplatz[SAP],ROW()-1),"")</f>
        <v/>
      </c>
      <c r="C372">
        <f>IF(B372="","",IFERROR(INDEX(tblMaterial[Bezeichnung],MATCH(B372,tblMaterial[SAP],0)),"?"))</f>
        <v/>
      </c>
      <c r="D372">
        <f>IF(B372="","",IFERROR(INDEX(tblMaterial[Lagerstand],MATCH(B372,tblMaterial[SAP],0)),"?"))</f>
        <v/>
      </c>
      <c r="E372">
        <f>IF(B372="","",IFERROR(INDEX(tblMaterial[Meldebestand],MATCH(B372,tblMaterial[SAP],0)),"?"))</f>
        <v/>
      </c>
      <c r="F372">
        <f>IF(OR(B372="",NOT(ISNUMBER(D372))),"",IF(D372&lt;E372,"JA",""))</f>
        <v/>
      </c>
    </row>
    <row r="373">
      <c r="A373">
        <f>IFERROR(INDEX(tblStellplatz[Stellplatz],ROW()-1),"")</f>
        <v/>
      </c>
      <c r="B373">
        <f>IFERROR(INDEX(tblStellplatz[SAP],ROW()-1),"")</f>
        <v/>
      </c>
      <c r="C373">
        <f>IF(B373="","",IFERROR(INDEX(tblMaterial[Bezeichnung],MATCH(B373,tblMaterial[SAP],0)),"?"))</f>
        <v/>
      </c>
      <c r="D373">
        <f>IF(B373="","",IFERROR(INDEX(tblMaterial[Lagerstand],MATCH(B373,tblMaterial[SAP],0)),"?"))</f>
        <v/>
      </c>
      <c r="E373">
        <f>IF(B373="","",IFERROR(INDEX(tblMaterial[Meldebestand],MATCH(B373,tblMaterial[SAP],0)),"?"))</f>
        <v/>
      </c>
      <c r="F373">
        <f>IF(OR(B373="",NOT(ISNUMBER(D373))),"",IF(D373&lt;E373,"JA",""))</f>
        <v/>
      </c>
    </row>
    <row r="374">
      <c r="A374">
        <f>IFERROR(INDEX(tblStellplatz[Stellplatz],ROW()-1),"")</f>
        <v/>
      </c>
      <c r="B374">
        <f>IFERROR(INDEX(tblStellplatz[SAP],ROW()-1),"")</f>
        <v/>
      </c>
      <c r="C374">
        <f>IF(B374="","",IFERROR(INDEX(tblMaterial[Bezeichnung],MATCH(B374,tblMaterial[SAP],0)),"?"))</f>
        <v/>
      </c>
      <c r="D374">
        <f>IF(B374="","",IFERROR(INDEX(tblMaterial[Lagerstand],MATCH(B374,tblMaterial[SAP],0)),"?"))</f>
        <v/>
      </c>
      <c r="E374">
        <f>IF(B374="","",IFERROR(INDEX(tblMaterial[Meldebestand],MATCH(B374,tblMaterial[SAP],0)),"?"))</f>
        <v/>
      </c>
      <c r="F374">
        <f>IF(OR(B374="",NOT(ISNUMBER(D374))),"",IF(D374&lt;E374,"JA",""))</f>
        <v/>
      </c>
    </row>
    <row r="375">
      <c r="A375">
        <f>IFERROR(INDEX(tblStellplatz[Stellplatz],ROW()-1),"")</f>
        <v/>
      </c>
      <c r="B375">
        <f>IFERROR(INDEX(tblStellplatz[SAP],ROW()-1),"")</f>
        <v/>
      </c>
      <c r="C375">
        <f>IF(B375="","",IFERROR(INDEX(tblMaterial[Bezeichnung],MATCH(B375,tblMaterial[SAP],0)),"?"))</f>
        <v/>
      </c>
      <c r="D375">
        <f>IF(B375="","",IFERROR(INDEX(tblMaterial[Lagerstand],MATCH(B375,tblMaterial[SAP],0)),"?"))</f>
        <v/>
      </c>
      <c r="E375">
        <f>IF(B375="","",IFERROR(INDEX(tblMaterial[Meldebestand],MATCH(B375,tblMaterial[SAP],0)),"?"))</f>
        <v/>
      </c>
      <c r="F375">
        <f>IF(OR(B375="",NOT(ISNUMBER(D375))),"",IF(D375&lt;E375,"JA",""))</f>
        <v/>
      </c>
    </row>
    <row r="376">
      <c r="A376">
        <f>IFERROR(INDEX(tblStellplatz[Stellplatz],ROW()-1),"")</f>
        <v/>
      </c>
      <c r="B376">
        <f>IFERROR(INDEX(tblStellplatz[SAP],ROW()-1),"")</f>
        <v/>
      </c>
      <c r="C376">
        <f>IF(B376="","",IFERROR(INDEX(tblMaterial[Bezeichnung],MATCH(B376,tblMaterial[SAP],0)),"?"))</f>
        <v/>
      </c>
      <c r="D376">
        <f>IF(B376="","",IFERROR(INDEX(tblMaterial[Lagerstand],MATCH(B376,tblMaterial[SAP],0)),"?"))</f>
        <v/>
      </c>
      <c r="E376">
        <f>IF(B376="","",IFERROR(INDEX(tblMaterial[Meldebestand],MATCH(B376,tblMaterial[SAP],0)),"?"))</f>
        <v/>
      </c>
      <c r="F376">
        <f>IF(OR(B376="",NOT(ISNUMBER(D376))),"",IF(D376&lt;E376,"JA",""))</f>
        <v/>
      </c>
    </row>
    <row r="377">
      <c r="A377">
        <f>IFERROR(INDEX(tblStellplatz[Stellplatz],ROW()-1),"")</f>
        <v/>
      </c>
      <c r="B377">
        <f>IFERROR(INDEX(tblStellplatz[SAP],ROW()-1),"")</f>
        <v/>
      </c>
      <c r="C377">
        <f>IF(B377="","",IFERROR(INDEX(tblMaterial[Bezeichnung],MATCH(B377,tblMaterial[SAP],0)),"?"))</f>
        <v/>
      </c>
      <c r="D377">
        <f>IF(B377="","",IFERROR(INDEX(tblMaterial[Lagerstand],MATCH(B377,tblMaterial[SAP],0)),"?"))</f>
        <v/>
      </c>
      <c r="E377">
        <f>IF(B377="","",IFERROR(INDEX(tblMaterial[Meldebestand],MATCH(B377,tblMaterial[SAP],0)),"?"))</f>
        <v/>
      </c>
      <c r="F377">
        <f>IF(OR(B377="",NOT(ISNUMBER(D377))),"",IF(D377&lt;E377,"JA",""))</f>
        <v/>
      </c>
    </row>
    <row r="378">
      <c r="A378">
        <f>IFERROR(INDEX(tblStellplatz[Stellplatz],ROW()-1),"")</f>
        <v/>
      </c>
      <c r="B378">
        <f>IFERROR(INDEX(tblStellplatz[SAP],ROW()-1),"")</f>
        <v/>
      </c>
      <c r="C378">
        <f>IF(B378="","",IFERROR(INDEX(tblMaterial[Bezeichnung],MATCH(B378,tblMaterial[SAP],0)),"?"))</f>
        <v/>
      </c>
      <c r="D378">
        <f>IF(B378="","",IFERROR(INDEX(tblMaterial[Lagerstand],MATCH(B378,tblMaterial[SAP],0)),"?"))</f>
        <v/>
      </c>
      <c r="E378">
        <f>IF(B378="","",IFERROR(INDEX(tblMaterial[Meldebestand],MATCH(B378,tblMaterial[SAP],0)),"?"))</f>
        <v/>
      </c>
      <c r="F378">
        <f>IF(OR(B378="",NOT(ISNUMBER(D378))),"",IF(D378&lt;E378,"JA",""))</f>
        <v/>
      </c>
    </row>
    <row r="379">
      <c r="A379">
        <f>IFERROR(INDEX(tblStellplatz[Stellplatz],ROW()-1),"")</f>
        <v/>
      </c>
      <c r="B379">
        <f>IFERROR(INDEX(tblStellplatz[SAP],ROW()-1),"")</f>
        <v/>
      </c>
      <c r="C379">
        <f>IF(B379="","",IFERROR(INDEX(tblMaterial[Bezeichnung],MATCH(B379,tblMaterial[SAP],0)),"?"))</f>
        <v/>
      </c>
      <c r="D379">
        <f>IF(B379="","",IFERROR(INDEX(tblMaterial[Lagerstand],MATCH(B379,tblMaterial[SAP],0)),"?"))</f>
        <v/>
      </c>
      <c r="E379">
        <f>IF(B379="","",IFERROR(INDEX(tblMaterial[Meldebestand],MATCH(B379,tblMaterial[SAP],0)),"?"))</f>
        <v/>
      </c>
      <c r="F379">
        <f>IF(OR(B379="",NOT(ISNUMBER(D379))),"",IF(D379&lt;E379,"JA",""))</f>
        <v/>
      </c>
    </row>
    <row r="380">
      <c r="A380">
        <f>IFERROR(INDEX(tblStellplatz[Stellplatz],ROW()-1),"")</f>
        <v/>
      </c>
      <c r="B380">
        <f>IFERROR(INDEX(tblStellplatz[SAP],ROW()-1),"")</f>
        <v/>
      </c>
      <c r="C380">
        <f>IF(B380="","",IFERROR(INDEX(tblMaterial[Bezeichnung],MATCH(B380,tblMaterial[SAP],0)),"?"))</f>
        <v/>
      </c>
      <c r="D380">
        <f>IF(B380="","",IFERROR(INDEX(tblMaterial[Lagerstand],MATCH(B380,tblMaterial[SAP],0)),"?"))</f>
        <v/>
      </c>
      <c r="E380">
        <f>IF(B380="","",IFERROR(INDEX(tblMaterial[Meldebestand],MATCH(B380,tblMaterial[SAP],0)),"?"))</f>
        <v/>
      </c>
      <c r="F380">
        <f>IF(OR(B380="",NOT(ISNUMBER(D380))),"",IF(D380&lt;E380,"JA",""))</f>
        <v/>
      </c>
    </row>
    <row r="381">
      <c r="A381">
        <f>IFERROR(INDEX(tblStellplatz[Stellplatz],ROW()-1),"")</f>
        <v/>
      </c>
      <c r="B381">
        <f>IFERROR(INDEX(tblStellplatz[SAP],ROW()-1),"")</f>
        <v/>
      </c>
      <c r="C381">
        <f>IF(B381="","",IFERROR(INDEX(tblMaterial[Bezeichnung],MATCH(B381,tblMaterial[SAP],0)),"?"))</f>
        <v/>
      </c>
      <c r="D381">
        <f>IF(B381="","",IFERROR(INDEX(tblMaterial[Lagerstand],MATCH(B381,tblMaterial[SAP],0)),"?"))</f>
        <v/>
      </c>
      <c r="E381">
        <f>IF(B381="","",IFERROR(INDEX(tblMaterial[Meldebestand],MATCH(B381,tblMaterial[SAP],0)),"?"))</f>
        <v/>
      </c>
      <c r="F381">
        <f>IF(OR(B381="",NOT(ISNUMBER(D381))),"",IF(D381&lt;E381,"JA",""))</f>
        <v/>
      </c>
    </row>
    <row r="382">
      <c r="A382">
        <f>IFERROR(INDEX(tblStellplatz[Stellplatz],ROW()-1),"")</f>
        <v/>
      </c>
      <c r="B382">
        <f>IFERROR(INDEX(tblStellplatz[SAP],ROW()-1),"")</f>
        <v/>
      </c>
      <c r="C382">
        <f>IF(B382="","",IFERROR(INDEX(tblMaterial[Bezeichnung],MATCH(B382,tblMaterial[SAP],0)),"?"))</f>
        <v/>
      </c>
      <c r="D382">
        <f>IF(B382="","",IFERROR(INDEX(tblMaterial[Lagerstand],MATCH(B382,tblMaterial[SAP],0)),"?"))</f>
        <v/>
      </c>
      <c r="E382">
        <f>IF(B382="","",IFERROR(INDEX(tblMaterial[Meldebestand],MATCH(B382,tblMaterial[SAP],0)),"?"))</f>
        <v/>
      </c>
      <c r="F382">
        <f>IF(OR(B382="",NOT(ISNUMBER(D382))),"",IF(D382&lt;E382,"JA",""))</f>
        <v/>
      </c>
    </row>
    <row r="383">
      <c r="A383">
        <f>IFERROR(INDEX(tblStellplatz[Stellplatz],ROW()-1),"")</f>
        <v/>
      </c>
      <c r="B383">
        <f>IFERROR(INDEX(tblStellplatz[SAP],ROW()-1),"")</f>
        <v/>
      </c>
      <c r="C383">
        <f>IF(B383="","",IFERROR(INDEX(tblMaterial[Bezeichnung],MATCH(B383,tblMaterial[SAP],0)),"?"))</f>
        <v/>
      </c>
      <c r="D383">
        <f>IF(B383="","",IFERROR(INDEX(tblMaterial[Lagerstand],MATCH(B383,tblMaterial[SAP],0)),"?"))</f>
        <v/>
      </c>
      <c r="E383">
        <f>IF(B383="","",IFERROR(INDEX(tblMaterial[Meldebestand],MATCH(B383,tblMaterial[SAP],0)),"?"))</f>
        <v/>
      </c>
      <c r="F383">
        <f>IF(OR(B383="",NOT(ISNUMBER(D383))),"",IF(D383&lt;E383,"JA",""))</f>
        <v/>
      </c>
    </row>
    <row r="384">
      <c r="A384">
        <f>IFERROR(INDEX(tblStellplatz[Stellplatz],ROW()-1),"")</f>
        <v/>
      </c>
      <c r="B384">
        <f>IFERROR(INDEX(tblStellplatz[SAP],ROW()-1),"")</f>
        <v/>
      </c>
      <c r="C384">
        <f>IF(B384="","",IFERROR(INDEX(tblMaterial[Bezeichnung],MATCH(B384,tblMaterial[SAP],0)),"?"))</f>
        <v/>
      </c>
      <c r="D384">
        <f>IF(B384="","",IFERROR(INDEX(tblMaterial[Lagerstand],MATCH(B384,tblMaterial[SAP],0)),"?"))</f>
        <v/>
      </c>
      <c r="E384">
        <f>IF(B384="","",IFERROR(INDEX(tblMaterial[Meldebestand],MATCH(B384,tblMaterial[SAP],0)),"?"))</f>
        <v/>
      </c>
      <c r="F384">
        <f>IF(OR(B384="",NOT(ISNUMBER(D384))),"",IF(D384&lt;E384,"JA",""))</f>
        <v/>
      </c>
    </row>
    <row r="385">
      <c r="A385">
        <f>IFERROR(INDEX(tblStellplatz[Stellplatz],ROW()-1),"")</f>
        <v/>
      </c>
      <c r="B385">
        <f>IFERROR(INDEX(tblStellplatz[SAP],ROW()-1),"")</f>
        <v/>
      </c>
      <c r="C385">
        <f>IF(B385="","",IFERROR(INDEX(tblMaterial[Bezeichnung],MATCH(B385,tblMaterial[SAP],0)),"?"))</f>
        <v/>
      </c>
      <c r="D385">
        <f>IF(B385="","",IFERROR(INDEX(tblMaterial[Lagerstand],MATCH(B385,tblMaterial[SAP],0)),"?"))</f>
        <v/>
      </c>
      <c r="E385">
        <f>IF(B385="","",IFERROR(INDEX(tblMaterial[Meldebestand],MATCH(B385,tblMaterial[SAP],0)),"?"))</f>
        <v/>
      </c>
      <c r="F385">
        <f>IF(OR(B385="",NOT(ISNUMBER(D385))),"",IF(D385&lt;E385,"JA",""))</f>
        <v/>
      </c>
    </row>
    <row r="386">
      <c r="A386">
        <f>IFERROR(INDEX(tblStellplatz[Stellplatz],ROW()-1),"")</f>
        <v/>
      </c>
      <c r="B386">
        <f>IFERROR(INDEX(tblStellplatz[SAP],ROW()-1),"")</f>
        <v/>
      </c>
      <c r="C386">
        <f>IF(B386="","",IFERROR(INDEX(tblMaterial[Bezeichnung],MATCH(B386,tblMaterial[SAP],0)),"?"))</f>
        <v/>
      </c>
      <c r="D386">
        <f>IF(B386="","",IFERROR(INDEX(tblMaterial[Lagerstand],MATCH(B386,tblMaterial[SAP],0)),"?"))</f>
        <v/>
      </c>
      <c r="E386">
        <f>IF(B386="","",IFERROR(INDEX(tblMaterial[Meldebestand],MATCH(B386,tblMaterial[SAP],0)),"?"))</f>
        <v/>
      </c>
      <c r="F386">
        <f>IF(OR(B386="",NOT(ISNUMBER(D386))),"",IF(D386&lt;E386,"JA",""))</f>
        <v/>
      </c>
    </row>
    <row r="387">
      <c r="A387">
        <f>IFERROR(INDEX(tblStellplatz[Stellplatz],ROW()-1),"")</f>
        <v/>
      </c>
      <c r="B387">
        <f>IFERROR(INDEX(tblStellplatz[SAP],ROW()-1),"")</f>
        <v/>
      </c>
      <c r="C387">
        <f>IF(B387="","",IFERROR(INDEX(tblMaterial[Bezeichnung],MATCH(B387,tblMaterial[SAP],0)),"?"))</f>
        <v/>
      </c>
      <c r="D387">
        <f>IF(B387="","",IFERROR(INDEX(tblMaterial[Lagerstand],MATCH(B387,tblMaterial[SAP],0)),"?"))</f>
        <v/>
      </c>
      <c r="E387">
        <f>IF(B387="","",IFERROR(INDEX(tblMaterial[Meldebestand],MATCH(B387,tblMaterial[SAP],0)),"?"))</f>
        <v/>
      </c>
      <c r="F387">
        <f>IF(OR(B387="",NOT(ISNUMBER(D387))),"",IF(D387&lt;E387,"JA",""))</f>
        <v/>
      </c>
    </row>
    <row r="388">
      <c r="A388">
        <f>IFERROR(INDEX(tblStellplatz[Stellplatz],ROW()-1),"")</f>
        <v/>
      </c>
      <c r="B388">
        <f>IFERROR(INDEX(tblStellplatz[SAP],ROW()-1),"")</f>
        <v/>
      </c>
      <c r="C388">
        <f>IF(B388="","",IFERROR(INDEX(tblMaterial[Bezeichnung],MATCH(B388,tblMaterial[SAP],0)),"?"))</f>
        <v/>
      </c>
      <c r="D388">
        <f>IF(B388="","",IFERROR(INDEX(tblMaterial[Lagerstand],MATCH(B388,tblMaterial[SAP],0)),"?"))</f>
        <v/>
      </c>
      <c r="E388">
        <f>IF(B388="","",IFERROR(INDEX(tblMaterial[Meldebestand],MATCH(B388,tblMaterial[SAP],0)),"?"))</f>
        <v/>
      </c>
      <c r="F388">
        <f>IF(OR(B388="",NOT(ISNUMBER(D388))),"",IF(D388&lt;E388,"JA",""))</f>
        <v/>
      </c>
    </row>
    <row r="389">
      <c r="A389">
        <f>IFERROR(INDEX(tblStellplatz[Stellplatz],ROW()-1),"")</f>
        <v/>
      </c>
      <c r="B389">
        <f>IFERROR(INDEX(tblStellplatz[SAP],ROW()-1),"")</f>
        <v/>
      </c>
      <c r="C389">
        <f>IF(B389="","",IFERROR(INDEX(tblMaterial[Bezeichnung],MATCH(B389,tblMaterial[SAP],0)),"?"))</f>
        <v/>
      </c>
      <c r="D389">
        <f>IF(B389="","",IFERROR(INDEX(tblMaterial[Lagerstand],MATCH(B389,tblMaterial[SAP],0)),"?"))</f>
        <v/>
      </c>
      <c r="E389">
        <f>IF(B389="","",IFERROR(INDEX(tblMaterial[Meldebestand],MATCH(B389,tblMaterial[SAP],0)),"?"))</f>
        <v/>
      </c>
      <c r="F389">
        <f>IF(OR(B389="",NOT(ISNUMBER(D389))),"",IF(D389&lt;E389,"JA",""))</f>
        <v/>
      </c>
    </row>
    <row r="390">
      <c r="A390">
        <f>IFERROR(INDEX(tblStellplatz[Stellplatz],ROW()-1),"")</f>
        <v/>
      </c>
      <c r="B390">
        <f>IFERROR(INDEX(tblStellplatz[SAP],ROW()-1),"")</f>
        <v/>
      </c>
      <c r="C390">
        <f>IF(B390="","",IFERROR(INDEX(tblMaterial[Bezeichnung],MATCH(B390,tblMaterial[SAP],0)),"?"))</f>
        <v/>
      </c>
      <c r="D390">
        <f>IF(B390="","",IFERROR(INDEX(tblMaterial[Lagerstand],MATCH(B390,tblMaterial[SAP],0)),"?"))</f>
        <v/>
      </c>
      <c r="E390">
        <f>IF(B390="","",IFERROR(INDEX(tblMaterial[Meldebestand],MATCH(B390,tblMaterial[SAP],0)),"?"))</f>
        <v/>
      </c>
      <c r="F390">
        <f>IF(OR(B390="",NOT(ISNUMBER(D390))),"",IF(D390&lt;E390,"JA",""))</f>
        <v/>
      </c>
    </row>
    <row r="391">
      <c r="A391">
        <f>IFERROR(INDEX(tblStellplatz[Stellplatz],ROW()-1),"")</f>
        <v/>
      </c>
      <c r="B391">
        <f>IFERROR(INDEX(tblStellplatz[SAP],ROW()-1),"")</f>
        <v/>
      </c>
      <c r="C391">
        <f>IF(B391="","",IFERROR(INDEX(tblMaterial[Bezeichnung],MATCH(B391,tblMaterial[SAP],0)),"?"))</f>
        <v/>
      </c>
      <c r="D391">
        <f>IF(B391="","",IFERROR(INDEX(tblMaterial[Lagerstand],MATCH(B391,tblMaterial[SAP],0)),"?"))</f>
        <v/>
      </c>
      <c r="E391">
        <f>IF(B391="","",IFERROR(INDEX(tblMaterial[Meldebestand],MATCH(B391,tblMaterial[SAP],0)),"?"))</f>
        <v/>
      </c>
      <c r="F391">
        <f>IF(OR(B391="",NOT(ISNUMBER(D391))),"",IF(D391&lt;E391,"JA",""))</f>
        <v/>
      </c>
    </row>
    <row r="392">
      <c r="A392">
        <f>IFERROR(INDEX(tblStellplatz[Stellplatz],ROW()-1),"")</f>
        <v/>
      </c>
      <c r="B392">
        <f>IFERROR(INDEX(tblStellplatz[SAP],ROW()-1),"")</f>
        <v/>
      </c>
      <c r="C392">
        <f>IF(B392="","",IFERROR(INDEX(tblMaterial[Bezeichnung],MATCH(B392,tblMaterial[SAP],0)),"?"))</f>
        <v/>
      </c>
      <c r="D392">
        <f>IF(B392="","",IFERROR(INDEX(tblMaterial[Lagerstand],MATCH(B392,tblMaterial[SAP],0)),"?"))</f>
        <v/>
      </c>
      <c r="E392">
        <f>IF(B392="","",IFERROR(INDEX(tblMaterial[Meldebestand],MATCH(B392,tblMaterial[SAP],0)),"?"))</f>
        <v/>
      </c>
      <c r="F392">
        <f>IF(OR(B392="",NOT(ISNUMBER(D392))),"",IF(D392&lt;E392,"JA",""))</f>
        <v/>
      </c>
    </row>
    <row r="393">
      <c r="A393">
        <f>IFERROR(INDEX(tblStellplatz[Stellplatz],ROW()-1),"")</f>
        <v/>
      </c>
      <c r="B393">
        <f>IFERROR(INDEX(tblStellplatz[SAP],ROW()-1),"")</f>
        <v/>
      </c>
      <c r="C393">
        <f>IF(B393="","",IFERROR(INDEX(tblMaterial[Bezeichnung],MATCH(B393,tblMaterial[SAP],0)),"?"))</f>
        <v/>
      </c>
      <c r="D393">
        <f>IF(B393="","",IFERROR(INDEX(tblMaterial[Lagerstand],MATCH(B393,tblMaterial[SAP],0)),"?"))</f>
        <v/>
      </c>
      <c r="E393">
        <f>IF(B393="","",IFERROR(INDEX(tblMaterial[Meldebestand],MATCH(B393,tblMaterial[SAP],0)),"?"))</f>
        <v/>
      </c>
      <c r="F393">
        <f>IF(OR(B393="",NOT(ISNUMBER(D393))),"",IF(D393&lt;E393,"JA",""))</f>
        <v/>
      </c>
    </row>
    <row r="394">
      <c r="A394">
        <f>IFERROR(INDEX(tblStellplatz[Stellplatz],ROW()-1),"")</f>
        <v/>
      </c>
      <c r="B394">
        <f>IFERROR(INDEX(tblStellplatz[SAP],ROW()-1),"")</f>
        <v/>
      </c>
      <c r="C394">
        <f>IF(B394="","",IFERROR(INDEX(tblMaterial[Bezeichnung],MATCH(B394,tblMaterial[SAP],0)),"?"))</f>
        <v/>
      </c>
      <c r="D394">
        <f>IF(B394="","",IFERROR(INDEX(tblMaterial[Lagerstand],MATCH(B394,tblMaterial[SAP],0)),"?"))</f>
        <v/>
      </c>
      <c r="E394">
        <f>IF(B394="","",IFERROR(INDEX(tblMaterial[Meldebestand],MATCH(B394,tblMaterial[SAP],0)),"?"))</f>
        <v/>
      </c>
      <c r="F394">
        <f>IF(OR(B394="",NOT(ISNUMBER(D394))),"",IF(D394&lt;E394,"JA",""))</f>
        <v/>
      </c>
    </row>
    <row r="395">
      <c r="A395">
        <f>IFERROR(INDEX(tblStellplatz[Stellplatz],ROW()-1),"")</f>
        <v/>
      </c>
      <c r="B395">
        <f>IFERROR(INDEX(tblStellplatz[SAP],ROW()-1),"")</f>
        <v/>
      </c>
      <c r="C395">
        <f>IF(B395="","",IFERROR(INDEX(tblMaterial[Bezeichnung],MATCH(B395,tblMaterial[SAP],0)),"?"))</f>
        <v/>
      </c>
      <c r="D395">
        <f>IF(B395="","",IFERROR(INDEX(tblMaterial[Lagerstand],MATCH(B395,tblMaterial[SAP],0)),"?"))</f>
        <v/>
      </c>
      <c r="E395">
        <f>IF(B395="","",IFERROR(INDEX(tblMaterial[Meldebestand],MATCH(B395,tblMaterial[SAP],0)),"?"))</f>
        <v/>
      </c>
      <c r="F395">
        <f>IF(OR(B395="",NOT(ISNUMBER(D395))),"",IF(D395&lt;E395,"JA",""))</f>
        <v/>
      </c>
    </row>
    <row r="396">
      <c r="A396">
        <f>IFERROR(INDEX(tblStellplatz[Stellplatz],ROW()-1),"")</f>
        <v/>
      </c>
      <c r="B396">
        <f>IFERROR(INDEX(tblStellplatz[SAP],ROW()-1),"")</f>
        <v/>
      </c>
      <c r="C396">
        <f>IF(B396="","",IFERROR(INDEX(tblMaterial[Bezeichnung],MATCH(B396,tblMaterial[SAP],0)),"?"))</f>
        <v/>
      </c>
      <c r="D396">
        <f>IF(B396="","",IFERROR(INDEX(tblMaterial[Lagerstand],MATCH(B396,tblMaterial[SAP],0)),"?"))</f>
        <v/>
      </c>
      <c r="E396">
        <f>IF(B396="","",IFERROR(INDEX(tblMaterial[Meldebestand],MATCH(B396,tblMaterial[SAP],0)),"?"))</f>
        <v/>
      </c>
      <c r="F396">
        <f>IF(OR(B396="",NOT(ISNUMBER(D396))),"",IF(D396&lt;E396,"JA",""))</f>
        <v/>
      </c>
    </row>
    <row r="397">
      <c r="A397">
        <f>IFERROR(INDEX(tblStellplatz[Stellplatz],ROW()-1),"")</f>
        <v/>
      </c>
      <c r="B397">
        <f>IFERROR(INDEX(tblStellplatz[SAP],ROW()-1),"")</f>
        <v/>
      </c>
      <c r="C397">
        <f>IF(B397="","",IFERROR(INDEX(tblMaterial[Bezeichnung],MATCH(B397,tblMaterial[SAP],0)),"?"))</f>
        <v/>
      </c>
      <c r="D397">
        <f>IF(B397="","",IFERROR(INDEX(tblMaterial[Lagerstand],MATCH(B397,tblMaterial[SAP],0)),"?"))</f>
        <v/>
      </c>
      <c r="E397">
        <f>IF(B397="","",IFERROR(INDEX(tblMaterial[Meldebestand],MATCH(B397,tblMaterial[SAP],0)),"?"))</f>
        <v/>
      </c>
      <c r="F397">
        <f>IF(OR(B397="",NOT(ISNUMBER(D397))),"",IF(D397&lt;E397,"JA",""))</f>
        <v/>
      </c>
    </row>
    <row r="398">
      <c r="A398">
        <f>IFERROR(INDEX(tblStellplatz[Stellplatz],ROW()-1),"")</f>
        <v/>
      </c>
      <c r="B398">
        <f>IFERROR(INDEX(tblStellplatz[SAP],ROW()-1),"")</f>
        <v/>
      </c>
      <c r="C398">
        <f>IF(B398="","",IFERROR(INDEX(tblMaterial[Bezeichnung],MATCH(B398,tblMaterial[SAP],0)),"?"))</f>
        <v/>
      </c>
      <c r="D398">
        <f>IF(B398="","",IFERROR(INDEX(tblMaterial[Lagerstand],MATCH(B398,tblMaterial[SAP],0)),"?"))</f>
        <v/>
      </c>
      <c r="E398">
        <f>IF(B398="","",IFERROR(INDEX(tblMaterial[Meldebestand],MATCH(B398,tblMaterial[SAP],0)),"?"))</f>
        <v/>
      </c>
      <c r="F398">
        <f>IF(OR(B398="",NOT(ISNUMBER(D398))),"",IF(D398&lt;E398,"JA",""))</f>
        <v/>
      </c>
    </row>
    <row r="399">
      <c r="A399">
        <f>IFERROR(INDEX(tblStellplatz[Stellplatz],ROW()-1),"")</f>
        <v/>
      </c>
      <c r="B399">
        <f>IFERROR(INDEX(tblStellplatz[SAP],ROW()-1),"")</f>
        <v/>
      </c>
      <c r="C399">
        <f>IF(B399="","",IFERROR(INDEX(tblMaterial[Bezeichnung],MATCH(B399,tblMaterial[SAP],0)),"?"))</f>
        <v/>
      </c>
      <c r="D399">
        <f>IF(B399="","",IFERROR(INDEX(tblMaterial[Lagerstand],MATCH(B399,tblMaterial[SAP],0)),"?"))</f>
        <v/>
      </c>
      <c r="E399">
        <f>IF(B399="","",IFERROR(INDEX(tblMaterial[Meldebestand],MATCH(B399,tblMaterial[SAP],0)),"?"))</f>
        <v/>
      </c>
      <c r="F399">
        <f>IF(OR(B399="",NOT(ISNUMBER(D399))),"",IF(D399&lt;E399,"JA",""))</f>
        <v/>
      </c>
    </row>
    <row r="400">
      <c r="A400">
        <f>IFERROR(INDEX(tblStellplatz[Stellplatz],ROW()-1),"")</f>
        <v/>
      </c>
      <c r="B400">
        <f>IFERROR(INDEX(tblStellplatz[SAP],ROW()-1),"")</f>
        <v/>
      </c>
      <c r="C400">
        <f>IF(B400="","",IFERROR(INDEX(tblMaterial[Bezeichnung],MATCH(B400,tblMaterial[SAP],0)),"?"))</f>
        <v/>
      </c>
      <c r="D400">
        <f>IF(B400="","",IFERROR(INDEX(tblMaterial[Lagerstand],MATCH(B400,tblMaterial[SAP],0)),"?"))</f>
        <v/>
      </c>
      <c r="E400">
        <f>IF(B400="","",IFERROR(INDEX(tblMaterial[Meldebestand],MATCH(B400,tblMaterial[SAP],0)),"?"))</f>
        <v/>
      </c>
      <c r="F400">
        <f>IF(OR(B400="",NOT(ISNUMBER(D400))),"",IF(D400&lt;E400,"JA",""))</f>
        <v/>
      </c>
    </row>
    <row r="401">
      <c r="A401">
        <f>IFERROR(INDEX(tblStellplatz[Stellplatz],ROW()-1),"")</f>
        <v/>
      </c>
      <c r="B401">
        <f>IFERROR(INDEX(tblStellplatz[SAP],ROW()-1),"")</f>
        <v/>
      </c>
      <c r="C401">
        <f>IF(B401="","",IFERROR(INDEX(tblMaterial[Bezeichnung],MATCH(B401,tblMaterial[SAP],0)),"?"))</f>
        <v/>
      </c>
      <c r="D401">
        <f>IF(B401="","",IFERROR(INDEX(tblMaterial[Lagerstand],MATCH(B401,tblMaterial[SAP],0)),"?"))</f>
        <v/>
      </c>
      <c r="E401">
        <f>IF(B401="","",IFERROR(INDEX(tblMaterial[Meldebestand],MATCH(B401,tblMaterial[SAP],0)),"?"))</f>
        <v/>
      </c>
      <c r="F401">
        <f>IF(OR(B401="",NOT(ISNUMBER(D401))),"",IF(D401&lt;E401,"JA",""))</f>
        <v/>
      </c>
    </row>
    <row r="402">
      <c r="A402">
        <f>IFERROR(INDEX(tblStellplatz[Stellplatz],ROW()-1),"")</f>
        <v/>
      </c>
      <c r="B402">
        <f>IFERROR(INDEX(tblStellplatz[SAP],ROW()-1),"")</f>
        <v/>
      </c>
      <c r="C402">
        <f>IF(B402="","",IFERROR(INDEX(tblMaterial[Bezeichnung],MATCH(B402,tblMaterial[SAP],0)),"?"))</f>
        <v/>
      </c>
      <c r="D402">
        <f>IF(B402="","",IFERROR(INDEX(tblMaterial[Lagerstand],MATCH(B402,tblMaterial[SAP],0)),"?"))</f>
        <v/>
      </c>
      <c r="E402">
        <f>IF(B402="","",IFERROR(INDEX(tblMaterial[Meldebestand],MATCH(B402,tblMaterial[SAP],0)),"?"))</f>
        <v/>
      </c>
      <c r="F402">
        <f>IF(OR(B402="",NOT(ISNUMBER(D402))),"",IF(D402&lt;E402,"JA",""))</f>
        <v/>
      </c>
    </row>
    <row r="403">
      <c r="A403">
        <f>IFERROR(INDEX(tblStellplatz[Stellplatz],ROW()-1),"")</f>
        <v/>
      </c>
      <c r="B403">
        <f>IFERROR(INDEX(tblStellplatz[SAP],ROW()-1),"")</f>
        <v/>
      </c>
      <c r="C403">
        <f>IF(B403="","",IFERROR(INDEX(tblMaterial[Bezeichnung],MATCH(B403,tblMaterial[SAP],0)),"?"))</f>
        <v/>
      </c>
      <c r="D403">
        <f>IF(B403="","",IFERROR(INDEX(tblMaterial[Lagerstand],MATCH(B403,tblMaterial[SAP],0)),"?"))</f>
        <v/>
      </c>
      <c r="E403">
        <f>IF(B403="","",IFERROR(INDEX(tblMaterial[Meldebestand],MATCH(B403,tblMaterial[SAP],0)),"?"))</f>
        <v/>
      </c>
      <c r="F403">
        <f>IF(OR(B403="",NOT(ISNUMBER(D403))),"",IF(D403&lt;E403,"JA",""))</f>
        <v/>
      </c>
    </row>
    <row r="404">
      <c r="A404">
        <f>IFERROR(INDEX(tblStellplatz[Stellplatz],ROW()-1),"")</f>
        <v/>
      </c>
      <c r="B404">
        <f>IFERROR(INDEX(tblStellplatz[SAP],ROW()-1),"")</f>
        <v/>
      </c>
      <c r="C404">
        <f>IF(B404="","",IFERROR(INDEX(tblMaterial[Bezeichnung],MATCH(B404,tblMaterial[SAP],0)),"?"))</f>
        <v/>
      </c>
      <c r="D404">
        <f>IF(B404="","",IFERROR(INDEX(tblMaterial[Lagerstand],MATCH(B404,tblMaterial[SAP],0)),"?"))</f>
        <v/>
      </c>
      <c r="E404">
        <f>IF(B404="","",IFERROR(INDEX(tblMaterial[Meldebestand],MATCH(B404,tblMaterial[SAP],0)),"?"))</f>
        <v/>
      </c>
      <c r="F404">
        <f>IF(OR(B404="",NOT(ISNUMBER(D404))),"",IF(D404&lt;E404,"JA",""))</f>
        <v/>
      </c>
    </row>
    <row r="405">
      <c r="A405">
        <f>IFERROR(INDEX(tblStellplatz[Stellplatz],ROW()-1),"")</f>
        <v/>
      </c>
      <c r="B405">
        <f>IFERROR(INDEX(tblStellplatz[SAP],ROW()-1),"")</f>
        <v/>
      </c>
      <c r="C405">
        <f>IF(B405="","",IFERROR(INDEX(tblMaterial[Bezeichnung],MATCH(B405,tblMaterial[SAP],0)),"?"))</f>
        <v/>
      </c>
      <c r="D405">
        <f>IF(B405="","",IFERROR(INDEX(tblMaterial[Lagerstand],MATCH(B405,tblMaterial[SAP],0)),"?"))</f>
        <v/>
      </c>
      <c r="E405">
        <f>IF(B405="","",IFERROR(INDEX(tblMaterial[Meldebestand],MATCH(B405,tblMaterial[SAP],0)),"?"))</f>
        <v/>
      </c>
      <c r="F405">
        <f>IF(OR(B405="",NOT(ISNUMBER(D405))),"",IF(D405&lt;E405,"JA",""))</f>
        <v/>
      </c>
    </row>
    <row r="406">
      <c r="A406">
        <f>IFERROR(INDEX(tblStellplatz[Stellplatz],ROW()-1),"")</f>
        <v/>
      </c>
      <c r="B406">
        <f>IFERROR(INDEX(tblStellplatz[SAP],ROW()-1),"")</f>
        <v/>
      </c>
      <c r="C406">
        <f>IF(B406="","",IFERROR(INDEX(tblMaterial[Bezeichnung],MATCH(B406,tblMaterial[SAP],0)),"?"))</f>
        <v/>
      </c>
      <c r="D406">
        <f>IF(B406="","",IFERROR(INDEX(tblMaterial[Lagerstand],MATCH(B406,tblMaterial[SAP],0)),"?"))</f>
        <v/>
      </c>
      <c r="E406">
        <f>IF(B406="","",IFERROR(INDEX(tblMaterial[Meldebestand],MATCH(B406,tblMaterial[SAP],0)),"?"))</f>
        <v/>
      </c>
      <c r="F406">
        <f>IF(OR(B406="",NOT(ISNUMBER(D406))),"",IF(D406&lt;E406,"JA",""))</f>
        <v/>
      </c>
    </row>
    <row r="407">
      <c r="A407">
        <f>IFERROR(INDEX(tblStellplatz[Stellplatz],ROW()-1),"")</f>
        <v/>
      </c>
      <c r="B407">
        <f>IFERROR(INDEX(tblStellplatz[SAP],ROW()-1),"")</f>
        <v/>
      </c>
      <c r="C407">
        <f>IF(B407="","",IFERROR(INDEX(tblMaterial[Bezeichnung],MATCH(B407,tblMaterial[SAP],0)),"?"))</f>
        <v/>
      </c>
      <c r="D407">
        <f>IF(B407="","",IFERROR(INDEX(tblMaterial[Lagerstand],MATCH(B407,tblMaterial[SAP],0)),"?"))</f>
        <v/>
      </c>
      <c r="E407">
        <f>IF(B407="","",IFERROR(INDEX(tblMaterial[Meldebestand],MATCH(B407,tblMaterial[SAP],0)),"?"))</f>
        <v/>
      </c>
      <c r="F407">
        <f>IF(OR(B407="",NOT(ISNUMBER(D407))),"",IF(D407&lt;E407,"JA",""))</f>
        <v/>
      </c>
    </row>
    <row r="408">
      <c r="A408">
        <f>IFERROR(INDEX(tblStellplatz[Stellplatz],ROW()-1),"")</f>
        <v/>
      </c>
      <c r="B408">
        <f>IFERROR(INDEX(tblStellplatz[SAP],ROW()-1),"")</f>
        <v/>
      </c>
      <c r="C408">
        <f>IF(B408="","",IFERROR(INDEX(tblMaterial[Bezeichnung],MATCH(B408,tblMaterial[SAP],0)),"?"))</f>
        <v/>
      </c>
      <c r="D408">
        <f>IF(B408="","",IFERROR(INDEX(tblMaterial[Lagerstand],MATCH(B408,tblMaterial[SAP],0)),"?"))</f>
        <v/>
      </c>
      <c r="E408">
        <f>IF(B408="","",IFERROR(INDEX(tblMaterial[Meldebestand],MATCH(B408,tblMaterial[SAP],0)),"?"))</f>
        <v/>
      </c>
      <c r="F408">
        <f>IF(OR(B408="",NOT(ISNUMBER(D408))),"",IF(D408&lt;E408,"JA",""))</f>
        <v/>
      </c>
    </row>
    <row r="409">
      <c r="A409">
        <f>IFERROR(INDEX(tblStellplatz[Stellplatz],ROW()-1),"")</f>
        <v/>
      </c>
      <c r="B409">
        <f>IFERROR(INDEX(tblStellplatz[SAP],ROW()-1),"")</f>
        <v/>
      </c>
      <c r="C409">
        <f>IF(B409="","",IFERROR(INDEX(tblMaterial[Bezeichnung],MATCH(B409,tblMaterial[SAP],0)),"?"))</f>
        <v/>
      </c>
      <c r="D409">
        <f>IF(B409="","",IFERROR(INDEX(tblMaterial[Lagerstand],MATCH(B409,tblMaterial[SAP],0)),"?"))</f>
        <v/>
      </c>
      <c r="E409">
        <f>IF(B409="","",IFERROR(INDEX(tblMaterial[Meldebestand],MATCH(B409,tblMaterial[SAP],0)),"?"))</f>
        <v/>
      </c>
      <c r="F409">
        <f>IF(OR(B409="",NOT(ISNUMBER(D409))),"",IF(D409&lt;E409,"JA",""))</f>
        <v/>
      </c>
    </row>
    <row r="410">
      <c r="A410">
        <f>IFERROR(INDEX(tblStellplatz[Stellplatz],ROW()-1),"")</f>
        <v/>
      </c>
      <c r="B410">
        <f>IFERROR(INDEX(tblStellplatz[SAP],ROW()-1),"")</f>
        <v/>
      </c>
      <c r="C410">
        <f>IF(B410="","",IFERROR(INDEX(tblMaterial[Bezeichnung],MATCH(B410,tblMaterial[SAP],0)),"?"))</f>
        <v/>
      </c>
      <c r="D410">
        <f>IF(B410="","",IFERROR(INDEX(tblMaterial[Lagerstand],MATCH(B410,tblMaterial[SAP],0)),"?"))</f>
        <v/>
      </c>
      <c r="E410">
        <f>IF(B410="","",IFERROR(INDEX(tblMaterial[Meldebestand],MATCH(B410,tblMaterial[SAP],0)),"?"))</f>
        <v/>
      </c>
      <c r="F410">
        <f>IF(OR(B410="",NOT(ISNUMBER(D410))),"",IF(D410&lt;E410,"JA",""))</f>
        <v/>
      </c>
    </row>
    <row r="411">
      <c r="A411">
        <f>IFERROR(INDEX(tblStellplatz[Stellplatz],ROW()-1),"")</f>
        <v/>
      </c>
      <c r="B411">
        <f>IFERROR(INDEX(tblStellplatz[SAP],ROW()-1),"")</f>
        <v/>
      </c>
      <c r="C411">
        <f>IF(B411="","",IFERROR(INDEX(tblMaterial[Bezeichnung],MATCH(B411,tblMaterial[SAP],0)),"?"))</f>
        <v/>
      </c>
      <c r="D411">
        <f>IF(B411="","",IFERROR(INDEX(tblMaterial[Lagerstand],MATCH(B411,tblMaterial[SAP],0)),"?"))</f>
        <v/>
      </c>
      <c r="E411">
        <f>IF(B411="","",IFERROR(INDEX(tblMaterial[Meldebestand],MATCH(B411,tblMaterial[SAP],0)),"?"))</f>
        <v/>
      </c>
      <c r="F411">
        <f>IF(OR(B411="",NOT(ISNUMBER(D411))),"",IF(D411&lt;E411,"JA",""))</f>
        <v/>
      </c>
    </row>
    <row r="412">
      <c r="A412">
        <f>IFERROR(INDEX(tblStellplatz[Stellplatz],ROW()-1),"")</f>
        <v/>
      </c>
      <c r="B412">
        <f>IFERROR(INDEX(tblStellplatz[SAP],ROW()-1),"")</f>
        <v/>
      </c>
      <c r="C412">
        <f>IF(B412="","",IFERROR(INDEX(tblMaterial[Bezeichnung],MATCH(B412,tblMaterial[SAP],0)),"?"))</f>
        <v/>
      </c>
      <c r="D412">
        <f>IF(B412="","",IFERROR(INDEX(tblMaterial[Lagerstand],MATCH(B412,tblMaterial[SAP],0)),"?"))</f>
        <v/>
      </c>
      <c r="E412">
        <f>IF(B412="","",IFERROR(INDEX(tblMaterial[Meldebestand],MATCH(B412,tblMaterial[SAP],0)),"?"))</f>
        <v/>
      </c>
      <c r="F412">
        <f>IF(OR(B412="",NOT(ISNUMBER(D412))),"",IF(D412&lt;E412,"JA",""))</f>
        <v/>
      </c>
    </row>
    <row r="413">
      <c r="A413">
        <f>IFERROR(INDEX(tblStellplatz[Stellplatz],ROW()-1),"")</f>
        <v/>
      </c>
      <c r="B413">
        <f>IFERROR(INDEX(tblStellplatz[SAP],ROW()-1),"")</f>
        <v/>
      </c>
      <c r="C413">
        <f>IF(B413="","",IFERROR(INDEX(tblMaterial[Bezeichnung],MATCH(B413,tblMaterial[SAP],0)),"?"))</f>
        <v/>
      </c>
      <c r="D413">
        <f>IF(B413="","",IFERROR(INDEX(tblMaterial[Lagerstand],MATCH(B413,tblMaterial[SAP],0)),"?"))</f>
        <v/>
      </c>
      <c r="E413">
        <f>IF(B413="","",IFERROR(INDEX(tblMaterial[Meldebestand],MATCH(B413,tblMaterial[SAP],0)),"?"))</f>
        <v/>
      </c>
      <c r="F413">
        <f>IF(OR(B413="",NOT(ISNUMBER(D413))),"",IF(D413&lt;E413,"JA",""))</f>
        <v/>
      </c>
    </row>
    <row r="414">
      <c r="A414">
        <f>IFERROR(INDEX(tblStellplatz[Stellplatz],ROW()-1),"")</f>
        <v/>
      </c>
      <c r="B414">
        <f>IFERROR(INDEX(tblStellplatz[SAP],ROW()-1),"")</f>
        <v/>
      </c>
      <c r="C414">
        <f>IF(B414="","",IFERROR(INDEX(tblMaterial[Bezeichnung],MATCH(B414,tblMaterial[SAP],0)),"?"))</f>
        <v/>
      </c>
      <c r="D414">
        <f>IF(B414="","",IFERROR(INDEX(tblMaterial[Lagerstand],MATCH(B414,tblMaterial[SAP],0)),"?"))</f>
        <v/>
      </c>
      <c r="E414">
        <f>IF(B414="","",IFERROR(INDEX(tblMaterial[Meldebestand],MATCH(B414,tblMaterial[SAP],0)),"?"))</f>
        <v/>
      </c>
      <c r="F414">
        <f>IF(OR(B414="",NOT(ISNUMBER(D414))),"",IF(D414&lt;E414,"JA",""))</f>
        <v/>
      </c>
    </row>
    <row r="415">
      <c r="A415">
        <f>IFERROR(INDEX(tblStellplatz[Stellplatz],ROW()-1),"")</f>
        <v/>
      </c>
      <c r="B415">
        <f>IFERROR(INDEX(tblStellplatz[SAP],ROW()-1),"")</f>
        <v/>
      </c>
      <c r="C415">
        <f>IF(B415="","",IFERROR(INDEX(tblMaterial[Bezeichnung],MATCH(B415,tblMaterial[SAP],0)),"?"))</f>
        <v/>
      </c>
      <c r="D415">
        <f>IF(B415="","",IFERROR(INDEX(tblMaterial[Lagerstand],MATCH(B415,tblMaterial[SAP],0)),"?"))</f>
        <v/>
      </c>
      <c r="E415">
        <f>IF(B415="","",IFERROR(INDEX(tblMaterial[Meldebestand],MATCH(B415,tblMaterial[SAP],0)),"?"))</f>
        <v/>
      </c>
      <c r="F415">
        <f>IF(OR(B415="",NOT(ISNUMBER(D415))),"",IF(D415&lt;E415,"JA",""))</f>
        <v/>
      </c>
    </row>
    <row r="416">
      <c r="A416">
        <f>IFERROR(INDEX(tblStellplatz[Stellplatz],ROW()-1),"")</f>
        <v/>
      </c>
      <c r="B416">
        <f>IFERROR(INDEX(tblStellplatz[SAP],ROW()-1),"")</f>
        <v/>
      </c>
      <c r="C416">
        <f>IF(B416="","",IFERROR(INDEX(tblMaterial[Bezeichnung],MATCH(B416,tblMaterial[SAP],0)),"?"))</f>
        <v/>
      </c>
      <c r="D416">
        <f>IF(B416="","",IFERROR(INDEX(tblMaterial[Lagerstand],MATCH(B416,tblMaterial[SAP],0)),"?"))</f>
        <v/>
      </c>
      <c r="E416">
        <f>IF(B416="","",IFERROR(INDEX(tblMaterial[Meldebestand],MATCH(B416,tblMaterial[SAP],0)),"?"))</f>
        <v/>
      </c>
      <c r="F416">
        <f>IF(OR(B416="",NOT(ISNUMBER(D416))),"",IF(D416&lt;E416,"JA",""))</f>
        <v/>
      </c>
    </row>
    <row r="417">
      <c r="A417">
        <f>IFERROR(INDEX(tblStellplatz[Stellplatz],ROW()-1),"")</f>
        <v/>
      </c>
      <c r="B417">
        <f>IFERROR(INDEX(tblStellplatz[SAP],ROW()-1),"")</f>
        <v/>
      </c>
      <c r="C417">
        <f>IF(B417="","",IFERROR(INDEX(tblMaterial[Bezeichnung],MATCH(B417,tblMaterial[SAP],0)),"?"))</f>
        <v/>
      </c>
      <c r="D417">
        <f>IF(B417="","",IFERROR(INDEX(tblMaterial[Lagerstand],MATCH(B417,tblMaterial[SAP],0)),"?"))</f>
        <v/>
      </c>
      <c r="E417">
        <f>IF(B417="","",IFERROR(INDEX(tblMaterial[Meldebestand],MATCH(B417,tblMaterial[SAP],0)),"?"))</f>
        <v/>
      </c>
      <c r="F417">
        <f>IF(OR(B417="",NOT(ISNUMBER(D417))),"",IF(D417&lt;E417,"JA",""))</f>
        <v/>
      </c>
    </row>
    <row r="418">
      <c r="A418">
        <f>IFERROR(INDEX(tblStellplatz[Stellplatz],ROW()-1),"")</f>
        <v/>
      </c>
      <c r="B418">
        <f>IFERROR(INDEX(tblStellplatz[SAP],ROW()-1),"")</f>
        <v/>
      </c>
      <c r="C418">
        <f>IF(B418="","",IFERROR(INDEX(tblMaterial[Bezeichnung],MATCH(B418,tblMaterial[SAP],0)),"?"))</f>
        <v/>
      </c>
      <c r="D418">
        <f>IF(B418="","",IFERROR(INDEX(tblMaterial[Lagerstand],MATCH(B418,tblMaterial[SAP],0)),"?"))</f>
        <v/>
      </c>
      <c r="E418">
        <f>IF(B418="","",IFERROR(INDEX(tblMaterial[Meldebestand],MATCH(B418,tblMaterial[SAP],0)),"?"))</f>
        <v/>
      </c>
      <c r="F418">
        <f>IF(OR(B418="",NOT(ISNUMBER(D418))),"",IF(D418&lt;E418,"JA",""))</f>
        <v/>
      </c>
    </row>
    <row r="419">
      <c r="A419">
        <f>IFERROR(INDEX(tblStellplatz[Stellplatz],ROW()-1),"")</f>
        <v/>
      </c>
      <c r="B419">
        <f>IFERROR(INDEX(tblStellplatz[SAP],ROW()-1),"")</f>
        <v/>
      </c>
      <c r="C419">
        <f>IF(B419="","",IFERROR(INDEX(tblMaterial[Bezeichnung],MATCH(B419,tblMaterial[SAP],0)),"?"))</f>
        <v/>
      </c>
      <c r="D419">
        <f>IF(B419="","",IFERROR(INDEX(tblMaterial[Lagerstand],MATCH(B419,tblMaterial[SAP],0)),"?"))</f>
        <v/>
      </c>
      <c r="E419">
        <f>IF(B419="","",IFERROR(INDEX(tblMaterial[Meldebestand],MATCH(B419,tblMaterial[SAP],0)),"?"))</f>
        <v/>
      </c>
      <c r="F419">
        <f>IF(OR(B419="",NOT(ISNUMBER(D419))),"",IF(D419&lt;E419,"JA",""))</f>
        <v/>
      </c>
    </row>
    <row r="420">
      <c r="A420">
        <f>IFERROR(INDEX(tblStellplatz[Stellplatz],ROW()-1),"")</f>
        <v/>
      </c>
      <c r="B420">
        <f>IFERROR(INDEX(tblStellplatz[SAP],ROW()-1),"")</f>
        <v/>
      </c>
      <c r="C420">
        <f>IF(B420="","",IFERROR(INDEX(tblMaterial[Bezeichnung],MATCH(B420,tblMaterial[SAP],0)),"?"))</f>
        <v/>
      </c>
      <c r="D420">
        <f>IF(B420="","",IFERROR(INDEX(tblMaterial[Lagerstand],MATCH(B420,tblMaterial[SAP],0)),"?"))</f>
        <v/>
      </c>
      <c r="E420">
        <f>IF(B420="","",IFERROR(INDEX(tblMaterial[Meldebestand],MATCH(B420,tblMaterial[SAP],0)),"?"))</f>
        <v/>
      </c>
      <c r="F420">
        <f>IF(OR(B420="",NOT(ISNUMBER(D420))),"",IF(D420&lt;E420,"JA",""))</f>
        <v/>
      </c>
    </row>
    <row r="421">
      <c r="A421">
        <f>IFERROR(INDEX(tblStellplatz[Stellplatz],ROW()-1),"")</f>
        <v/>
      </c>
      <c r="B421">
        <f>IFERROR(INDEX(tblStellplatz[SAP],ROW()-1),"")</f>
        <v/>
      </c>
      <c r="C421">
        <f>IF(B421="","",IFERROR(INDEX(tblMaterial[Bezeichnung],MATCH(B421,tblMaterial[SAP],0)),"?"))</f>
        <v/>
      </c>
      <c r="D421">
        <f>IF(B421="","",IFERROR(INDEX(tblMaterial[Lagerstand],MATCH(B421,tblMaterial[SAP],0)),"?"))</f>
        <v/>
      </c>
      <c r="E421">
        <f>IF(B421="","",IFERROR(INDEX(tblMaterial[Meldebestand],MATCH(B421,tblMaterial[SAP],0)),"?"))</f>
        <v/>
      </c>
      <c r="F421">
        <f>IF(OR(B421="",NOT(ISNUMBER(D421))),"",IF(D421&lt;E421,"JA",""))</f>
        <v/>
      </c>
    </row>
    <row r="422">
      <c r="A422">
        <f>IFERROR(INDEX(tblStellplatz[Stellplatz],ROW()-1),"")</f>
        <v/>
      </c>
      <c r="B422">
        <f>IFERROR(INDEX(tblStellplatz[SAP],ROW()-1),"")</f>
        <v/>
      </c>
      <c r="C422">
        <f>IF(B422="","",IFERROR(INDEX(tblMaterial[Bezeichnung],MATCH(B422,tblMaterial[SAP],0)),"?"))</f>
        <v/>
      </c>
      <c r="D422">
        <f>IF(B422="","",IFERROR(INDEX(tblMaterial[Lagerstand],MATCH(B422,tblMaterial[SAP],0)),"?"))</f>
        <v/>
      </c>
      <c r="E422">
        <f>IF(B422="","",IFERROR(INDEX(tblMaterial[Meldebestand],MATCH(B422,tblMaterial[SAP],0)),"?"))</f>
        <v/>
      </c>
      <c r="F422">
        <f>IF(OR(B422="",NOT(ISNUMBER(D422))),"",IF(D422&lt;E422,"JA",""))</f>
        <v/>
      </c>
    </row>
    <row r="423">
      <c r="A423">
        <f>IFERROR(INDEX(tblStellplatz[Stellplatz],ROW()-1),"")</f>
        <v/>
      </c>
      <c r="B423">
        <f>IFERROR(INDEX(tblStellplatz[SAP],ROW()-1),"")</f>
        <v/>
      </c>
      <c r="C423">
        <f>IF(B423="","",IFERROR(INDEX(tblMaterial[Bezeichnung],MATCH(B423,tblMaterial[SAP],0)),"?"))</f>
        <v/>
      </c>
      <c r="D423">
        <f>IF(B423="","",IFERROR(INDEX(tblMaterial[Lagerstand],MATCH(B423,tblMaterial[SAP],0)),"?"))</f>
        <v/>
      </c>
      <c r="E423">
        <f>IF(B423="","",IFERROR(INDEX(tblMaterial[Meldebestand],MATCH(B423,tblMaterial[SAP],0)),"?"))</f>
        <v/>
      </c>
      <c r="F423">
        <f>IF(OR(B423="",NOT(ISNUMBER(D423))),"",IF(D423&lt;E423,"JA",""))</f>
        <v/>
      </c>
    </row>
    <row r="424">
      <c r="A424">
        <f>IFERROR(INDEX(tblStellplatz[Stellplatz],ROW()-1),"")</f>
        <v/>
      </c>
      <c r="B424">
        <f>IFERROR(INDEX(tblStellplatz[SAP],ROW()-1),"")</f>
        <v/>
      </c>
      <c r="C424">
        <f>IF(B424="","",IFERROR(INDEX(tblMaterial[Bezeichnung],MATCH(B424,tblMaterial[SAP],0)),"?"))</f>
        <v/>
      </c>
      <c r="D424">
        <f>IF(B424="","",IFERROR(INDEX(tblMaterial[Lagerstand],MATCH(B424,tblMaterial[SAP],0)),"?"))</f>
        <v/>
      </c>
      <c r="E424">
        <f>IF(B424="","",IFERROR(INDEX(tblMaterial[Meldebestand],MATCH(B424,tblMaterial[SAP],0)),"?"))</f>
        <v/>
      </c>
      <c r="F424">
        <f>IF(OR(B424="",NOT(ISNUMBER(D424))),"",IF(D424&lt;E424,"JA",""))</f>
        <v/>
      </c>
    </row>
    <row r="425">
      <c r="A425">
        <f>IFERROR(INDEX(tblStellplatz[Stellplatz],ROW()-1),"")</f>
        <v/>
      </c>
      <c r="B425">
        <f>IFERROR(INDEX(tblStellplatz[SAP],ROW()-1),"")</f>
        <v/>
      </c>
      <c r="C425">
        <f>IF(B425="","",IFERROR(INDEX(tblMaterial[Bezeichnung],MATCH(B425,tblMaterial[SAP],0)),"?"))</f>
        <v/>
      </c>
      <c r="D425">
        <f>IF(B425="","",IFERROR(INDEX(tblMaterial[Lagerstand],MATCH(B425,tblMaterial[SAP],0)),"?"))</f>
        <v/>
      </c>
      <c r="E425">
        <f>IF(B425="","",IFERROR(INDEX(tblMaterial[Meldebestand],MATCH(B425,tblMaterial[SAP],0)),"?"))</f>
        <v/>
      </c>
      <c r="F425">
        <f>IF(OR(B425="",NOT(ISNUMBER(D425))),"",IF(D425&lt;E425,"JA",""))</f>
        <v/>
      </c>
    </row>
    <row r="426">
      <c r="A426">
        <f>IFERROR(INDEX(tblStellplatz[Stellplatz],ROW()-1),"")</f>
        <v/>
      </c>
      <c r="B426">
        <f>IFERROR(INDEX(tblStellplatz[SAP],ROW()-1),"")</f>
        <v/>
      </c>
      <c r="C426">
        <f>IF(B426="","",IFERROR(INDEX(tblMaterial[Bezeichnung],MATCH(B426,tblMaterial[SAP],0)),"?"))</f>
        <v/>
      </c>
      <c r="D426">
        <f>IF(B426="","",IFERROR(INDEX(tblMaterial[Lagerstand],MATCH(B426,tblMaterial[SAP],0)),"?"))</f>
        <v/>
      </c>
      <c r="E426">
        <f>IF(B426="","",IFERROR(INDEX(tblMaterial[Meldebestand],MATCH(B426,tblMaterial[SAP],0)),"?"))</f>
        <v/>
      </c>
      <c r="F426">
        <f>IF(OR(B426="",NOT(ISNUMBER(D426))),"",IF(D426&lt;E426,"JA",""))</f>
        <v/>
      </c>
    </row>
    <row r="427">
      <c r="A427">
        <f>IFERROR(INDEX(tblStellplatz[Stellplatz],ROW()-1),"")</f>
        <v/>
      </c>
      <c r="B427">
        <f>IFERROR(INDEX(tblStellplatz[SAP],ROW()-1),"")</f>
        <v/>
      </c>
      <c r="C427">
        <f>IF(B427="","",IFERROR(INDEX(tblMaterial[Bezeichnung],MATCH(B427,tblMaterial[SAP],0)),"?"))</f>
        <v/>
      </c>
      <c r="D427">
        <f>IF(B427="","",IFERROR(INDEX(tblMaterial[Lagerstand],MATCH(B427,tblMaterial[SAP],0)),"?"))</f>
        <v/>
      </c>
      <c r="E427">
        <f>IF(B427="","",IFERROR(INDEX(tblMaterial[Meldebestand],MATCH(B427,tblMaterial[SAP],0)),"?"))</f>
        <v/>
      </c>
      <c r="F427">
        <f>IF(OR(B427="",NOT(ISNUMBER(D427))),"",IF(D427&lt;E427,"JA",""))</f>
        <v/>
      </c>
    </row>
    <row r="428">
      <c r="A428">
        <f>IFERROR(INDEX(tblStellplatz[Stellplatz],ROW()-1),"")</f>
        <v/>
      </c>
      <c r="B428">
        <f>IFERROR(INDEX(tblStellplatz[SAP],ROW()-1),"")</f>
        <v/>
      </c>
      <c r="C428">
        <f>IF(B428="","",IFERROR(INDEX(tblMaterial[Bezeichnung],MATCH(B428,tblMaterial[SAP],0)),"?"))</f>
        <v/>
      </c>
      <c r="D428">
        <f>IF(B428="","",IFERROR(INDEX(tblMaterial[Lagerstand],MATCH(B428,tblMaterial[SAP],0)),"?"))</f>
        <v/>
      </c>
      <c r="E428">
        <f>IF(B428="","",IFERROR(INDEX(tblMaterial[Meldebestand],MATCH(B428,tblMaterial[SAP],0)),"?"))</f>
        <v/>
      </c>
      <c r="F428">
        <f>IF(OR(B428="",NOT(ISNUMBER(D428))),"",IF(D428&lt;E428,"JA",""))</f>
        <v/>
      </c>
    </row>
    <row r="429">
      <c r="A429">
        <f>IFERROR(INDEX(tblStellplatz[Stellplatz],ROW()-1),"")</f>
        <v/>
      </c>
      <c r="B429">
        <f>IFERROR(INDEX(tblStellplatz[SAP],ROW()-1),"")</f>
        <v/>
      </c>
      <c r="C429">
        <f>IF(B429="","",IFERROR(INDEX(tblMaterial[Bezeichnung],MATCH(B429,tblMaterial[SAP],0)),"?"))</f>
        <v/>
      </c>
      <c r="D429">
        <f>IF(B429="","",IFERROR(INDEX(tblMaterial[Lagerstand],MATCH(B429,tblMaterial[SAP],0)),"?"))</f>
        <v/>
      </c>
      <c r="E429">
        <f>IF(B429="","",IFERROR(INDEX(tblMaterial[Meldebestand],MATCH(B429,tblMaterial[SAP],0)),"?"))</f>
        <v/>
      </c>
      <c r="F429">
        <f>IF(OR(B429="",NOT(ISNUMBER(D429))),"",IF(D429&lt;E429,"JA",""))</f>
        <v/>
      </c>
    </row>
    <row r="430">
      <c r="A430">
        <f>IFERROR(INDEX(tblStellplatz[Stellplatz],ROW()-1),"")</f>
        <v/>
      </c>
      <c r="B430">
        <f>IFERROR(INDEX(tblStellplatz[SAP],ROW()-1),"")</f>
        <v/>
      </c>
      <c r="C430">
        <f>IF(B430="","",IFERROR(INDEX(tblMaterial[Bezeichnung],MATCH(B430,tblMaterial[SAP],0)),"?"))</f>
        <v/>
      </c>
      <c r="D430">
        <f>IF(B430="","",IFERROR(INDEX(tblMaterial[Lagerstand],MATCH(B430,tblMaterial[SAP],0)),"?"))</f>
        <v/>
      </c>
      <c r="E430">
        <f>IF(B430="","",IFERROR(INDEX(tblMaterial[Meldebestand],MATCH(B430,tblMaterial[SAP],0)),"?"))</f>
        <v/>
      </c>
      <c r="F430">
        <f>IF(OR(B430="",NOT(ISNUMBER(D430))),"",IF(D430&lt;E430,"JA",""))</f>
        <v/>
      </c>
    </row>
    <row r="431">
      <c r="A431">
        <f>IFERROR(INDEX(tblStellplatz[Stellplatz],ROW()-1),"")</f>
        <v/>
      </c>
      <c r="B431">
        <f>IFERROR(INDEX(tblStellplatz[SAP],ROW()-1),"")</f>
        <v/>
      </c>
      <c r="C431">
        <f>IF(B431="","",IFERROR(INDEX(tblMaterial[Bezeichnung],MATCH(B431,tblMaterial[SAP],0)),"?"))</f>
        <v/>
      </c>
      <c r="D431">
        <f>IF(B431="","",IFERROR(INDEX(tblMaterial[Lagerstand],MATCH(B431,tblMaterial[SAP],0)),"?"))</f>
        <v/>
      </c>
      <c r="E431">
        <f>IF(B431="","",IFERROR(INDEX(tblMaterial[Meldebestand],MATCH(B431,tblMaterial[SAP],0)),"?"))</f>
        <v/>
      </c>
      <c r="F431">
        <f>IF(OR(B431="",NOT(ISNUMBER(D431))),"",IF(D431&lt;E431,"JA",""))</f>
        <v/>
      </c>
    </row>
    <row r="432">
      <c r="A432">
        <f>IFERROR(INDEX(tblStellplatz[Stellplatz],ROW()-1),"")</f>
        <v/>
      </c>
      <c r="B432">
        <f>IFERROR(INDEX(tblStellplatz[SAP],ROW()-1),"")</f>
        <v/>
      </c>
      <c r="C432">
        <f>IF(B432="","",IFERROR(INDEX(tblMaterial[Bezeichnung],MATCH(B432,tblMaterial[SAP],0)),"?"))</f>
        <v/>
      </c>
      <c r="D432">
        <f>IF(B432="","",IFERROR(INDEX(tblMaterial[Lagerstand],MATCH(B432,tblMaterial[SAP],0)),"?"))</f>
        <v/>
      </c>
      <c r="E432">
        <f>IF(B432="","",IFERROR(INDEX(tblMaterial[Meldebestand],MATCH(B432,tblMaterial[SAP],0)),"?"))</f>
        <v/>
      </c>
      <c r="F432">
        <f>IF(OR(B432="",NOT(ISNUMBER(D432))),"",IF(D432&lt;E432,"JA",""))</f>
        <v/>
      </c>
    </row>
    <row r="433">
      <c r="A433">
        <f>IFERROR(INDEX(tblStellplatz[Stellplatz],ROW()-1),"")</f>
        <v/>
      </c>
      <c r="B433">
        <f>IFERROR(INDEX(tblStellplatz[SAP],ROW()-1),"")</f>
        <v/>
      </c>
      <c r="C433">
        <f>IF(B433="","",IFERROR(INDEX(tblMaterial[Bezeichnung],MATCH(B433,tblMaterial[SAP],0)),"?"))</f>
        <v/>
      </c>
      <c r="D433">
        <f>IF(B433="","",IFERROR(INDEX(tblMaterial[Lagerstand],MATCH(B433,tblMaterial[SAP],0)),"?"))</f>
        <v/>
      </c>
      <c r="E433">
        <f>IF(B433="","",IFERROR(INDEX(tblMaterial[Meldebestand],MATCH(B433,tblMaterial[SAP],0)),"?"))</f>
        <v/>
      </c>
      <c r="F433">
        <f>IF(OR(B433="",NOT(ISNUMBER(D433))),"",IF(D433&lt;E433,"JA",""))</f>
        <v/>
      </c>
    </row>
    <row r="434">
      <c r="A434">
        <f>IFERROR(INDEX(tblStellplatz[Stellplatz],ROW()-1),"")</f>
        <v/>
      </c>
      <c r="B434">
        <f>IFERROR(INDEX(tblStellplatz[SAP],ROW()-1),"")</f>
        <v/>
      </c>
      <c r="C434">
        <f>IF(B434="","",IFERROR(INDEX(tblMaterial[Bezeichnung],MATCH(B434,tblMaterial[SAP],0)),"?"))</f>
        <v/>
      </c>
      <c r="D434">
        <f>IF(B434="","",IFERROR(INDEX(tblMaterial[Lagerstand],MATCH(B434,tblMaterial[SAP],0)),"?"))</f>
        <v/>
      </c>
      <c r="E434">
        <f>IF(B434="","",IFERROR(INDEX(tblMaterial[Meldebestand],MATCH(B434,tblMaterial[SAP],0)),"?"))</f>
        <v/>
      </c>
      <c r="F434">
        <f>IF(OR(B434="",NOT(ISNUMBER(D434))),"",IF(D434&lt;E434,"JA",""))</f>
        <v/>
      </c>
    </row>
    <row r="435">
      <c r="A435">
        <f>IFERROR(INDEX(tblStellplatz[Stellplatz],ROW()-1),"")</f>
        <v/>
      </c>
      <c r="B435">
        <f>IFERROR(INDEX(tblStellplatz[SAP],ROW()-1),"")</f>
        <v/>
      </c>
      <c r="C435">
        <f>IF(B435="","",IFERROR(INDEX(tblMaterial[Bezeichnung],MATCH(B435,tblMaterial[SAP],0)),"?"))</f>
        <v/>
      </c>
      <c r="D435">
        <f>IF(B435="","",IFERROR(INDEX(tblMaterial[Lagerstand],MATCH(B435,tblMaterial[SAP],0)),"?"))</f>
        <v/>
      </c>
      <c r="E435">
        <f>IF(B435="","",IFERROR(INDEX(tblMaterial[Meldebestand],MATCH(B435,tblMaterial[SAP],0)),"?"))</f>
        <v/>
      </c>
      <c r="F435">
        <f>IF(OR(B435="",NOT(ISNUMBER(D435))),"",IF(D435&lt;E435,"JA",""))</f>
        <v/>
      </c>
    </row>
    <row r="436">
      <c r="A436">
        <f>IFERROR(INDEX(tblStellplatz[Stellplatz],ROW()-1),"")</f>
        <v/>
      </c>
      <c r="B436">
        <f>IFERROR(INDEX(tblStellplatz[SAP],ROW()-1),"")</f>
        <v/>
      </c>
      <c r="C436">
        <f>IF(B436="","",IFERROR(INDEX(tblMaterial[Bezeichnung],MATCH(B436,tblMaterial[SAP],0)),"?"))</f>
        <v/>
      </c>
      <c r="D436">
        <f>IF(B436="","",IFERROR(INDEX(tblMaterial[Lagerstand],MATCH(B436,tblMaterial[SAP],0)),"?"))</f>
        <v/>
      </c>
      <c r="E436">
        <f>IF(B436="","",IFERROR(INDEX(tblMaterial[Meldebestand],MATCH(B436,tblMaterial[SAP],0)),"?"))</f>
        <v/>
      </c>
      <c r="F436">
        <f>IF(OR(B436="",NOT(ISNUMBER(D436))),"",IF(D436&lt;E436,"JA",""))</f>
        <v/>
      </c>
    </row>
    <row r="437">
      <c r="A437">
        <f>IFERROR(INDEX(tblStellplatz[Stellplatz],ROW()-1),"")</f>
        <v/>
      </c>
      <c r="B437">
        <f>IFERROR(INDEX(tblStellplatz[SAP],ROW()-1),"")</f>
        <v/>
      </c>
      <c r="C437">
        <f>IF(B437="","",IFERROR(INDEX(tblMaterial[Bezeichnung],MATCH(B437,tblMaterial[SAP],0)),"?"))</f>
        <v/>
      </c>
      <c r="D437">
        <f>IF(B437="","",IFERROR(INDEX(tblMaterial[Lagerstand],MATCH(B437,tblMaterial[SAP],0)),"?"))</f>
        <v/>
      </c>
      <c r="E437">
        <f>IF(B437="","",IFERROR(INDEX(tblMaterial[Meldebestand],MATCH(B437,tblMaterial[SAP],0)),"?"))</f>
        <v/>
      </c>
      <c r="F437">
        <f>IF(OR(B437="",NOT(ISNUMBER(D437))),"",IF(D437&lt;E437,"JA",""))</f>
        <v/>
      </c>
    </row>
    <row r="438">
      <c r="A438">
        <f>IFERROR(INDEX(tblStellplatz[Stellplatz],ROW()-1),"")</f>
        <v/>
      </c>
      <c r="B438">
        <f>IFERROR(INDEX(tblStellplatz[SAP],ROW()-1),"")</f>
        <v/>
      </c>
      <c r="C438">
        <f>IF(B438="","",IFERROR(INDEX(tblMaterial[Bezeichnung],MATCH(B438,tblMaterial[SAP],0)),"?"))</f>
        <v/>
      </c>
      <c r="D438">
        <f>IF(B438="","",IFERROR(INDEX(tblMaterial[Lagerstand],MATCH(B438,tblMaterial[SAP],0)),"?"))</f>
        <v/>
      </c>
      <c r="E438">
        <f>IF(B438="","",IFERROR(INDEX(tblMaterial[Meldebestand],MATCH(B438,tblMaterial[SAP],0)),"?"))</f>
        <v/>
      </c>
      <c r="F438">
        <f>IF(OR(B438="",NOT(ISNUMBER(D438))),"",IF(D438&lt;E438,"JA",""))</f>
        <v/>
      </c>
    </row>
    <row r="439">
      <c r="A439">
        <f>IFERROR(INDEX(tblStellplatz[Stellplatz],ROW()-1),"")</f>
        <v/>
      </c>
      <c r="B439">
        <f>IFERROR(INDEX(tblStellplatz[SAP],ROW()-1),"")</f>
        <v/>
      </c>
      <c r="C439">
        <f>IF(B439="","",IFERROR(INDEX(tblMaterial[Bezeichnung],MATCH(B439,tblMaterial[SAP],0)),"?"))</f>
        <v/>
      </c>
      <c r="D439">
        <f>IF(B439="","",IFERROR(INDEX(tblMaterial[Lagerstand],MATCH(B439,tblMaterial[SAP],0)),"?"))</f>
        <v/>
      </c>
      <c r="E439">
        <f>IF(B439="","",IFERROR(INDEX(tblMaterial[Meldebestand],MATCH(B439,tblMaterial[SAP],0)),"?"))</f>
        <v/>
      </c>
      <c r="F439">
        <f>IF(OR(B439="",NOT(ISNUMBER(D439))),"",IF(D439&lt;E439,"JA",""))</f>
        <v/>
      </c>
    </row>
    <row r="440">
      <c r="A440">
        <f>IFERROR(INDEX(tblStellplatz[Stellplatz],ROW()-1),"")</f>
        <v/>
      </c>
      <c r="B440">
        <f>IFERROR(INDEX(tblStellplatz[SAP],ROW()-1),"")</f>
        <v/>
      </c>
      <c r="C440">
        <f>IF(B440="","",IFERROR(INDEX(tblMaterial[Bezeichnung],MATCH(B440,tblMaterial[SAP],0)),"?"))</f>
        <v/>
      </c>
      <c r="D440">
        <f>IF(B440="","",IFERROR(INDEX(tblMaterial[Lagerstand],MATCH(B440,tblMaterial[SAP],0)),"?"))</f>
        <v/>
      </c>
      <c r="E440">
        <f>IF(B440="","",IFERROR(INDEX(tblMaterial[Meldebestand],MATCH(B440,tblMaterial[SAP],0)),"?"))</f>
        <v/>
      </c>
      <c r="F440">
        <f>IF(OR(B440="",NOT(ISNUMBER(D440))),"",IF(D440&lt;E440,"JA",""))</f>
        <v/>
      </c>
    </row>
    <row r="441">
      <c r="A441">
        <f>IFERROR(INDEX(tblStellplatz[Stellplatz],ROW()-1),"")</f>
        <v/>
      </c>
      <c r="B441">
        <f>IFERROR(INDEX(tblStellplatz[SAP],ROW()-1),"")</f>
        <v/>
      </c>
      <c r="C441">
        <f>IF(B441="","",IFERROR(INDEX(tblMaterial[Bezeichnung],MATCH(B441,tblMaterial[SAP],0)),"?"))</f>
        <v/>
      </c>
      <c r="D441">
        <f>IF(B441="","",IFERROR(INDEX(tblMaterial[Lagerstand],MATCH(B441,tblMaterial[SAP],0)),"?"))</f>
        <v/>
      </c>
      <c r="E441">
        <f>IF(B441="","",IFERROR(INDEX(tblMaterial[Meldebestand],MATCH(B441,tblMaterial[SAP],0)),"?"))</f>
        <v/>
      </c>
      <c r="F441">
        <f>IF(OR(B441="",NOT(ISNUMBER(D441))),"",IF(D441&lt;E441,"JA",""))</f>
        <v/>
      </c>
    </row>
    <row r="442">
      <c r="A442">
        <f>IFERROR(INDEX(tblStellplatz[Stellplatz],ROW()-1),"")</f>
        <v/>
      </c>
      <c r="B442">
        <f>IFERROR(INDEX(tblStellplatz[SAP],ROW()-1),"")</f>
        <v/>
      </c>
      <c r="C442">
        <f>IF(B442="","",IFERROR(INDEX(tblMaterial[Bezeichnung],MATCH(B442,tblMaterial[SAP],0)),"?"))</f>
        <v/>
      </c>
      <c r="D442">
        <f>IF(B442="","",IFERROR(INDEX(tblMaterial[Lagerstand],MATCH(B442,tblMaterial[SAP],0)),"?"))</f>
        <v/>
      </c>
      <c r="E442">
        <f>IF(B442="","",IFERROR(INDEX(tblMaterial[Meldebestand],MATCH(B442,tblMaterial[SAP],0)),"?"))</f>
        <v/>
      </c>
      <c r="F442">
        <f>IF(OR(B442="",NOT(ISNUMBER(D442))),"",IF(D442&lt;E442,"JA",""))</f>
        <v/>
      </c>
    </row>
    <row r="443">
      <c r="A443">
        <f>IFERROR(INDEX(tblStellplatz[Stellplatz],ROW()-1),"")</f>
        <v/>
      </c>
      <c r="B443">
        <f>IFERROR(INDEX(tblStellplatz[SAP],ROW()-1),"")</f>
        <v/>
      </c>
      <c r="C443">
        <f>IF(B443="","",IFERROR(INDEX(tblMaterial[Bezeichnung],MATCH(B443,tblMaterial[SAP],0)),"?"))</f>
        <v/>
      </c>
      <c r="D443">
        <f>IF(B443="","",IFERROR(INDEX(tblMaterial[Lagerstand],MATCH(B443,tblMaterial[SAP],0)),"?"))</f>
        <v/>
      </c>
      <c r="E443">
        <f>IF(B443="","",IFERROR(INDEX(tblMaterial[Meldebestand],MATCH(B443,tblMaterial[SAP],0)),"?"))</f>
        <v/>
      </c>
      <c r="F443">
        <f>IF(OR(B443="",NOT(ISNUMBER(D443))),"",IF(D443&lt;E443,"JA",""))</f>
        <v/>
      </c>
    </row>
    <row r="444">
      <c r="A444">
        <f>IFERROR(INDEX(tblStellplatz[Stellplatz],ROW()-1),"")</f>
        <v/>
      </c>
      <c r="B444">
        <f>IFERROR(INDEX(tblStellplatz[SAP],ROW()-1),"")</f>
        <v/>
      </c>
      <c r="C444">
        <f>IF(B444="","",IFERROR(INDEX(tblMaterial[Bezeichnung],MATCH(B444,tblMaterial[SAP],0)),"?"))</f>
        <v/>
      </c>
      <c r="D444">
        <f>IF(B444="","",IFERROR(INDEX(tblMaterial[Lagerstand],MATCH(B444,tblMaterial[SAP],0)),"?"))</f>
        <v/>
      </c>
      <c r="E444">
        <f>IF(B444="","",IFERROR(INDEX(tblMaterial[Meldebestand],MATCH(B444,tblMaterial[SAP],0)),"?"))</f>
        <v/>
      </c>
      <c r="F444">
        <f>IF(OR(B444="",NOT(ISNUMBER(D444))),"",IF(D444&lt;E444,"JA",""))</f>
        <v/>
      </c>
    </row>
    <row r="445">
      <c r="A445">
        <f>IFERROR(INDEX(tblStellplatz[Stellplatz],ROW()-1),"")</f>
        <v/>
      </c>
      <c r="B445">
        <f>IFERROR(INDEX(tblStellplatz[SAP],ROW()-1),"")</f>
        <v/>
      </c>
      <c r="C445">
        <f>IF(B445="","",IFERROR(INDEX(tblMaterial[Bezeichnung],MATCH(B445,tblMaterial[SAP],0)),"?"))</f>
        <v/>
      </c>
      <c r="D445">
        <f>IF(B445="","",IFERROR(INDEX(tblMaterial[Lagerstand],MATCH(B445,tblMaterial[SAP],0)),"?"))</f>
        <v/>
      </c>
      <c r="E445">
        <f>IF(B445="","",IFERROR(INDEX(tblMaterial[Meldebestand],MATCH(B445,tblMaterial[SAP],0)),"?"))</f>
        <v/>
      </c>
      <c r="F445">
        <f>IF(OR(B445="",NOT(ISNUMBER(D445))),"",IF(D445&lt;E445,"JA",""))</f>
        <v/>
      </c>
    </row>
    <row r="446">
      <c r="A446">
        <f>IFERROR(INDEX(tblStellplatz[Stellplatz],ROW()-1),"")</f>
        <v/>
      </c>
      <c r="B446">
        <f>IFERROR(INDEX(tblStellplatz[SAP],ROW()-1),"")</f>
        <v/>
      </c>
      <c r="C446">
        <f>IF(B446="","",IFERROR(INDEX(tblMaterial[Bezeichnung],MATCH(B446,tblMaterial[SAP],0)),"?"))</f>
        <v/>
      </c>
      <c r="D446">
        <f>IF(B446="","",IFERROR(INDEX(tblMaterial[Lagerstand],MATCH(B446,tblMaterial[SAP],0)),"?"))</f>
        <v/>
      </c>
      <c r="E446">
        <f>IF(B446="","",IFERROR(INDEX(tblMaterial[Meldebestand],MATCH(B446,tblMaterial[SAP],0)),"?"))</f>
        <v/>
      </c>
      <c r="F446">
        <f>IF(OR(B446="",NOT(ISNUMBER(D446))),"",IF(D446&lt;E446,"JA",""))</f>
        <v/>
      </c>
    </row>
    <row r="447">
      <c r="A447">
        <f>IFERROR(INDEX(tblStellplatz[Stellplatz],ROW()-1),"")</f>
        <v/>
      </c>
      <c r="B447">
        <f>IFERROR(INDEX(tblStellplatz[SAP],ROW()-1),"")</f>
        <v/>
      </c>
      <c r="C447">
        <f>IF(B447="","",IFERROR(INDEX(tblMaterial[Bezeichnung],MATCH(B447,tblMaterial[SAP],0)),"?"))</f>
        <v/>
      </c>
      <c r="D447">
        <f>IF(B447="","",IFERROR(INDEX(tblMaterial[Lagerstand],MATCH(B447,tblMaterial[SAP],0)),"?"))</f>
        <v/>
      </c>
      <c r="E447">
        <f>IF(B447="","",IFERROR(INDEX(tblMaterial[Meldebestand],MATCH(B447,tblMaterial[SAP],0)),"?"))</f>
        <v/>
      </c>
      <c r="F447">
        <f>IF(OR(B447="",NOT(ISNUMBER(D447))),"",IF(D447&lt;E447,"JA",""))</f>
        <v/>
      </c>
    </row>
    <row r="448">
      <c r="A448">
        <f>IFERROR(INDEX(tblStellplatz[Stellplatz],ROW()-1),"")</f>
        <v/>
      </c>
      <c r="B448">
        <f>IFERROR(INDEX(tblStellplatz[SAP],ROW()-1),"")</f>
        <v/>
      </c>
      <c r="C448">
        <f>IF(B448="","",IFERROR(INDEX(tblMaterial[Bezeichnung],MATCH(B448,tblMaterial[SAP],0)),"?"))</f>
        <v/>
      </c>
      <c r="D448">
        <f>IF(B448="","",IFERROR(INDEX(tblMaterial[Lagerstand],MATCH(B448,tblMaterial[SAP],0)),"?"))</f>
        <v/>
      </c>
      <c r="E448">
        <f>IF(B448="","",IFERROR(INDEX(tblMaterial[Meldebestand],MATCH(B448,tblMaterial[SAP],0)),"?"))</f>
        <v/>
      </c>
      <c r="F448">
        <f>IF(OR(B448="",NOT(ISNUMBER(D448))),"",IF(D448&lt;E448,"JA",""))</f>
        <v/>
      </c>
    </row>
    <row r="449">
      <c r="A449">
        <f>IFERROR(INDEX(tblStellplatz[Stellplatz],ROW()-1),"")</f>
        <v/>
      </c>
      <c r="B449">
        <f>IFERROR(INDEX(tblStellplatz[SAP],ROW()-1),"")</f>
        <v/>
      </c>
      <c r="C449">
        <f>IF(B449="","",IFERROR(INDEX(tblMaterial[Bezeichnung],MATCH(B449,tblMaterial[SAP],0)),"?"))</f>
        <v/>
      </c>
      <c r="D449">
        <f>IF(B449="","",IFERROR(INDEX(tblMaterial[Lagerstand],MATCH(B449,tblMaterial[SAP],0)),"?"))</f>
        <v/>
      </c>
      <c r="E449">
        <f>IF(B449="","",IFERROR(INDEX(tblMaterial[Meldebestand],MATCH(B449,tblMaterial[SAP],0)),"?"))</f>
        <v/>
      </c>
      <c r="F449">
        <f>IF(OR(B449="",NOT(ISNUMBER(D449))),"",IF(D449&lt;E449,"JA",""))</f>
        <v/>
      </c>
    </row>
    <row r="450">
      <c r="A450">
        <f>IFERROR(INDEX(tblStellplatz[Stellplatz],ROW()-1),"")</f>
        <v/>
      </c>
      <c r="B450">
        <f>IFERROR(INDEX(tblStellplatz[SAP],ROW()-1),"")</f>
        <v/>
      </c>
      <c r="C450">
        <f>IF(B450="","",IFERROR(INDEX(tblMaterial[Bezeichnung],MATCH(B450,tblMaterial[SAP],0)),"?"))</f>
        <v/>
      </c>
      <c r="D450">
        <f>IF(B450="","",IFERROR(INDEX(tblMaterial[Lagerstand],MATCH(B450,tblMaterial[SAP],0)),"?"))</f>
        <v/>
      </c>
      <c r="E450">
        <f>IF(B450="","",IFERROR(INDEX(tblMaterial[Meldebestand],MATCH(B450,tblMaterial[SAP],0)),"?"))</f>
        <v/>
      </c>
      <c r="F450">
        <f>IF(OR(B450="",NOT(ISNUMBER(D450))),"",IF(D450&lt;E450,"JA",""))</f>
        <v/>
      </c>
    </row>
    <row r="451">
      <c r="A451">
        <f>IFERROR(INDEX(tblStellplatz[Stellplatz],ROW()-1),"")</f>
        <v/>
      </c>
      <c r="B451">
        <f>IFERROR(INDEX(tblStellplatz[SAP],ROW()-1),"")</f>
        <v/>
      </c>
      <c r="C451">
        <f>IF(B451="","",IFERROR(INDEX(tblMaterial[Bezeichnung],MATCH(B451,tblMaterial[SAP],0)),"?"))</f>
        <v/>
      </c>
      <c r="D451">
        <f>IF(B451="","",IFERROR(INDEX(tblMaterial[Lagerstand],MATCH(B451,tblMaterial[SAP],0)),"?"))</f>
        <v/>
      </c>
      <c r="E451">
        <f>IF(B451="","",IFERROR(INDEX(tblMaterial[Meldebestand],MATCH(B451,tblMaterial[SAP],0)),"?"))</f>
        <v/>
      </c>
      <c r="F451">
        <f>IF(OR(B451="",NOT(ISNUMBER(D451))),"",IF(D451&lt;E451,"JA",""))</f>
        <v/>
      </c>
    </row>
    <row r="452">
      <c r="A452">
        <f>IFERROR(INDEX(tblStellplatz[Stellplatz],ROW()-1),"")</f>
        <v/>
      </c>
      <c r="B452">
        <f>IFERROR(INDEX(tblStellplatz[SAP],ROW()-1),"")</f>
        <v/>
      </c>
      <c r="C452">
        <f>IF(B452="","",IFERROR(INDEX(tblMaterial[Bezeichnung],MATCH(B452,tblMaterial[SAP],0)),"?"))</f>
        <v/>
      </c>
      <c r="D452">
        <f>IF(B452="","",IFERROR(INDEX(tblMaterial[Lagerstand],MATCH(B452,tblMaterial[SAP],0)),"?"))</f>
        <v/>
      </c>
      <c r="E452">
        <f>IF(B452="","",IFERROR(INDEX(tblMaterial[Meldebestand],MATCH(B452,tblMaterial[SAP],0)),"?"))</f>
        <v/>
      </c>
      <c r="F452">
        <f>IF(OR(B452="",NOT(ISNUMBER(D452))),"",IF(D452&lt;E452,"JA",""))</f>
        <v/>
      </c>
    </row>
    <row r="453">
      <c r="A453">
        <f>IFERROR(INDEX(tblStellplatz[Stellplatz],ROW()-1),"")</f>
        <v/>
      </c>
      <c r="B453">
        <f>IFERROR(INDEX(tblStellplatz[SAP],ROW()-1),"")</f>
        <v/>
      </c>
      <c r="C453">
        <f>IF(B453="","",IFERROR(INDEX(tblMaterial[Bezeichnung],MATCH(B453,tblMaterial[SAP],0)),"?"))</f>
        <v/>
      </c>
      <c r="D453">
        <f>IF(B453="","",IFERROR(INDEX(tblMaterial[Lagerstand],MATCH(B453,tblMaterial[SAP],0)),"?"))</f>
        <v/>
      </c>
      <c r="E453">
        <f>IF(B453="","",IFERROR(INDEX(tblMaterial[Meldebestand],MATCH(B453,tblMaterial[SAP],0)),"?"))</f>
        <v/>
      </c>
      <c r="F453">
        <f>IF(OR(B453="",NOT(ISNUMBER(D453))),"",IF(D453&lt;E453,"JA",""))</f>
        <v/>
      </c>
    </row>
    <row r="454">
      <c r="A454">
        <f>IFERROR(INDEX(tblStellplatz[Stellplatz],ROW()-1),"")</f>
        <v/>
      </c>
      <c r="B454">
        <f>IFERROR(INDEX(tblStellplatz[SAP],ROW()-1),"")</f>
        <v/>
      </c>
      <c r="C454">
        <f>IF(B454="","",IFERROR(INDEX(tblMaterial[Bezeichnung],MATCH(B454,tblMaterial[SAP],0)),"?"))</f>
        <v/>
      </c>
      <c r="D454">
        <f>IF(B454="","",IFERROR(INDEX(tblMaterial[Lagerstand],MATCH(B454,tblMaterial[SAP],0)),"?"))</f>
        <v/>
      </c>
      <c r="E454">
        <f>IF(B454="","",IFERROR(INDEX(tblMaterial[Meldebestand],MATCH(B454,tblMaterial[SAP],0)),"?"))</f>
        <v/>
      </c>
      <c r="F454">
        <f>IF(OR(B454="",NOT(ISNUMBER(D454))),"",IF(D454&lt;E454,"JA",""))</f>
        <v/>
      </c>
    </row>
    <row r="455">
      <c r="A455">
        <f>IFERROR(INDEX(tblStellplatz[Stellplatz],ROW()-1),"")</f>
        <v/>
      </c>
      <c r="B455">
        <f>IFERROR(INDEX(tblStellplatz[SAP],ROW()-1),"")</f>
        <v/>
      </c>
      <c r="C455">
        <f>IF(B455="","",IFERROR(INDEX(tblMaterial[Bezeichnung],MATCH(B455,tblMaterial[SAP],0)),"?"))</f>
        <v/>
      </c>
      <c r="D455">
        <f>IF(B455="","",IFERROR(INDEX(tblMaterial[Lagerstand],MATCH(B455,tblMaterial[SAP],0)),"?"))</f>
        <v/>
      </c>
      <c r="E455">
        <f>IF(B455="","",IFERROR(INDEX(tblMaterial[Meldebestand],MATCH(B455,tblMaterial[SAP],0)),"?"))</f>
        <v/>
      </c>
      <c r="F455">
        <f>IF(OR(B455="",NOT(ISNUMBER(D455))),"",IF(D455&lt;E455,"JA",""))</f>
        <v/>
      </c>
    </row>
    <row r="456">
      <c r="A456">
        <f>IFERROR(INDEX(tblStellplatz[Stellplatz],ROW()-1),"")</f>
        <v/>
      </c>
      <c r="B456">
        <f>IFERROR(INDEX(tblStellplatz[SAP],ROW()-1),"")</f>
        <v/>
      </c>
      <c r="C456">
        <f>IF(B456="","",IFERROR(INDEX(tblMaterial[Bezeichnung],MATCH(B456,tblMaterial[SAP],0)),"?"))</f>
        <v/>
      </c>
      <c r="D456">
        <f>IF(B456="","",IFERROR(INDEX(tblMaterial[Lagerstand],MATCH(B456,tblMaterial[SAP],0)),"?"))</f>
        <v/>
      </c>
      <c r="E456">
        <f>IF(B456="","",IFERROR(INDEX(tblMaterial[Meldebestand],MATCH(B456,tblMaterial[SAP],0)),"?"))</f>
        <v/>
      </c>
      <c r="F456">
        <f>IF(OR(B456="",NOT(ISNUMBER(D456))),"",IF(D456&lt;E456,"JA",""))</f>
        <v/>
      </c>
    </row>
    <row r="457">
      <c r="A457">
        <f>IFERROR(INDEX(tblStellplatz[Stellplatz],ROW()-1),"")</f>
        <v/>
      </c>
      <c r="B457">
        <f>IFERROR(INDEX(tblStellplatz[SAP],ROW()-1),"")</f>
        <v/>
      </c>
      <c r="C457">
        <f>IF(B457="","",IFERROR(INDEX(tblMaterial[Bezeichnung],MATCH(B457,tblMaterial[SAP],0)),"?"))</f>
        <v/>
      </c>
      <c r="D457">
        <f>IF(B457="","",IFERROR(INDEX(tblMaterial[Lagerstand],MATCH(B457,tblMaterial[SAP],0)),"?"))</f>
        <v/>
      </c>
      <c r="E457">
        <f>IF(B457="","",IFERROR(INDEX(tblMaterial[Meldebestand],MATCH(B457,tblMaterial[SAP],0)),"?"))</f>
        <v/>
      </c>
      <c r="F457">
        <f>IF(OR(B457="",NOT(ISNUMBER(D457))),"",IF(D457&lt;E457,"JA",""))</f>
        <v/>
      </c>
    </row>
    <row r="458">
      <c r="A458">
        <f>IFERROR(INDEX(tblStellplatz[Stellplatz],ROW()-1),"")</f>
        <v/>
      </c>
      <c r="B458">
        <f>IFERROR(INDEX(tblStellplatz[SAP],ROW()-1),"")</f>
        <v/>
      </c>
      <c r="C458">
        <f>IF(B458="","",IFERROR(INDEX(tblMaterial[Bezeichnung],MATCH(B458,tblMaterial[SAP],0)),"?"))</f>
        <v/>
      </c>
      <c r="D458">
        <f>IF(B458="","",IFERROR(INDEX(tblMaterial[Lagerstand],MATCH(B458,tblMaterial[SAP],0)),"?"))</f>
        <v/>
      </c>
      <c r="E458">
        <f>IF(B458="","",IFERROR(INDEX(tblMaterial[Meldebestand],MATCH(B458,tblMaterial[SAP],0)),"?"))</f>
        <v/>
      </c>
      <c r="F458">
        <f>IF(OR(B458="",NOT(ISNUMBER(D458))),"",IF(D458&lt;E458,"JA",""))</f>
        <v/>
      </c>
    </row>
    <row r="459">
      <c r="A459">
        <f>IFERROR(INDEX(tblStellplatz[Stellplatz],ROW()-1),"")</f>
        <v/>
      </c>
      <c r="B459">
        <f>IFERROR(INDEX(tblStellplatz[SAP],ROW()-1),"")</f>
        <v/>
      </c>
      <c r="C459">
        <f>IF(B459="","",IFERROR(INDEX(tblMaterial[Bezeichnung],MATCH(B459,tblMaterial[SAP],0)),"?"))</f>
        <v/>
      </c>
      <c r="D459">
        <f>IF(B459="","",IFERROR(INDEX(tblMaterial[Lagerstand],MATCH(B459,tblMaterial[SAP],0)),"?"))</f>
        <v/>
      </c>
      <c r="E459">
        <f>IF(B459="","",IFERROR(INDEX(tblMaterial[Meldebestand],MATCH(B459,tblMaterial[SAP],0)),"?"))</f>
        <v/>
      </c>
      <c r="F459">
        <f>IF(OR(B459="",NOT(ISNUMBER(D459))),"",IF(D459&lt;E459,"JA",""))</f>
        <v/>
      </c>
    </row>
    <row r="460">
      <c r="A460">
        <f>IFERROR(INDEX(tblStellplatz[Stellplatz],ROW()-1),"")</f>
        <v/>
      </c>
      <c r="B460">
        <f>IFERROR(INDEX(tblStellplatz[SAP],ROW()-1),"")</f>
        <v/>
      </c>
      <c r="C460">
        <f>IF(B460="","",IFERROR(INDEX(tblMaterial[Bezeichnung],MATCH(B460,tblMaterial[SAP],0)),"?"))</f>
        <v/>
      </c>
      <c r="D460">
        <f>IF(B460="","",IFERROR(INDEX(tblMaterial[Lagerstand],MATCH(B460,tblMaterial[SAP],0)),"?"))</f>
        <v/>
      </c>
      <c r="E460">
        <f>IF(B460="","",IFERROR(INDEX(tblMaterial[Meldebestand],MATCH(B460,tblMaterial[SAP],0)),"?"))</f>
        <v/>
      </c>
      <c r="F460">
        <f>IF(OR(B460="",NOT(ISNUMBER(D460))),"",IF(D460&lt;E460,"JA",""))</f>
        <v/>
      </c>
    </row>
    <row r="461">
      <c r="A461">
        <f>IFERROR(INDEX(tblStellplatz[Stellplatz],ROW()-1),"")</f>
        <v/>
      </c>
      <c r="B461">
        <f>IFERROR(INDEX(tblStellplatz[SAP],ROW()-1),"")</f>
        <v/>
      </c>
      <c r="C461">
        <f>IF(B461="","",IFERROR(INDEX(tblMaterial[Bezeichnung],MATCH(B461,tblMaterial[SAP],0)),"?"))</f>
        <v/>
      </c>
      <c r="D461">
        <f>IF(B461="","",IFERROR(INDEX(tblMaterial[Lagerstand],MATCH(B461,tblMaterial[SAP],0)),"?"))</f>
        <v/>
      </c>
      <c r="E461">
        <f>IF(B461="","",IFERROR(INDEX(tblMaterial[Meldebestand],MATCH(B461,tblMaterial[SAP],0)),"?"))</f>
        <v/>
      </c>
      <c r="F461">
        <f>IF(OR(B461="",NOT(ISNUMBER(D461))),"",IF(D461&lt;E461,"JA",""))</f>
        <v/>
      </c>
    </row>
    <row r="462">
      <c r="A462">
        <f>IFERROR(INDEX(tblStellplatz[Stellplatz],ROW()-1),"")</f>
        <v/>
      </c>
      <c r="B462">
        <f>IFERROR(INDEX(tblStellplatz[SAP],ROW()-1),"")</f>
        <v/>
      </c>
      <c r="C462">
        <f>IF(B462="","",IFERROR(INDEX(tblMaterial[Bezeichnung],MATCH(B462,tblMaterial[SAP],0)),"?"))</f>
        <v/>
      </c>
      <c r="D462">
        <f>IF(B462="","",IFERROR(INDEX(tblMaterial[Lagerstand],MATCH(B462,tblMaterial[SAP],0)),"?"))</f>
        <v/>
      </c>
      <c r="E462">
        <f>IF(B462="","",IFERROR(INDEX(tblMaterial[Meldebestand],MATCH(B462,tblMaterial[SAP],0)),"?"))</f>
        <v/>
      </c>
      <c r="F462">
        <f>IF(OR(B462="",NOT(ISNUMBER(D462))),"",IF(D462&lt;E462,"JA",""))</f>
        <v/>
      </c>
    </row>
    <row r="463">
      <c r="A463">
        <f>IFERROR(INDEX(tblStellplatz[Stellplatz],ROW()-1),"")</f>
        <v/>
      </c>
      <c r="B463">
        <f>IFERROR(INDEX(tblStellplatz[SAP],ROW()-1),"")</f>
        <v/>
      </c>
      <c r="C463">
        <f>IF(B463="","",IFERROR(INDEX(tblMaterial[Bezeichnung],MATCH(B463,tblMaterial[SAP],0)),"?"))</f>
        <v/>
      </c>
      <c r="D463">
        <f>IF(B463="","",IFERROR(INDEX(tblMaterial[Lagerstand],MATCH(B463,tblMaterial[SAP],0)),"?"))</f>
        <v/>
      </c>
      <c r="E463">
        <f>IF(B463="","",IFERROR(INDEX(tblMaterial[Meldebestand],MATCH(B463,tblMaterial[SAP],0)),"?"))</f>
        <v/>
      </c>
      <c r="F463">
        <f>IF(OR(B463="",NOT(ISNUMBER(D463))),"",IF(D463&lt;E463,"JA",""))</f>
        <v/>
      </c>
    </row>
    <row r="464">
      <c r="A464">
        <f>IFERROR(INDEX(tblStellplatz[Stellplatz],ROW()-1),"")</f>
        <v/>
      </c>
      <c r="B464">
        <f>IFERROR(INDEX(tblStellplatz[SAP],ROW()-1),"")</f>
        <v/>
      </c>
      <c r="C464">
        <f>IF(B464="","",IFERROR(INDEX(tblMaterial[Bezeichnung],MATCH(B464,tblMaterial[SAP],0)),"?"))</f>
        <v/>
      </c>
      <c r="D464">
        <f>IF(B464="","",IFERROR(INDEX(tblMaterial[Lagerstand],MATCH(B464,tblMaterial[SAP],0)),"?"))</f>
        <v/>
      </c>
      <c r="E464">
        <f>IF(B464="","",IFERROR(INDEX(tblMaterial[Meldebestand],MATCH(B464,tblMaterial[SAP],0)),"?"))</f>
        <v/>
      </c>
      <c r="F464">
        <f>IF(OR(B464="",NOT(ISNUMBER(D464))),"",IF(D464&lt;E464,"JA",""))</f>
        <v/>
      </c>
    </row>
    <row r="465">
      <c r="A465">
        <f>IFERROR(INDEX(tblStellplatz[Stellplatz],ROW()-1),"")</f>
        <v/>
      </c>
      <c r="B465">
        <f>IFERROR(INDEX(tblStellplatz[SAP],ROW()-1),"")</f>
        <v/>
      </c>
      <c r="C465">
        <f>IF(B465="","",IFERROR(INDEX(tblMaterial[Bezeichnung],MATCH(B465,tblMaterial[SAP],0)),"?"))</f>
        <v/>
      </c>
      <c r="D465">
        <f>IF(B465="","",IFERROR(INDEX(tblMaterial[Lagerstand],MATCH(B465,tblMaterial[SAP],0)),"?"))</f>
        <v/>
      </c>
      <c r="E465">
        <f>IF(B465="","",IFERROR(INDEX(tblMaterial[Meldebestand],MATCH(B465,tblMaterial[SAP],0)),"?"))</f>
        <v/>
      </c>
      <c r="F465">
        <f>IF(OR(B465="",NOT(ISNUMBER(D465))),"",IF(D465&lt;E465,"JA",""))</f>
        <v/>
      </c>
    </row>
    <row r="466">
      <c r="A466">
        <f>IFERROR(INDEX(tblStellplatz[Stellplatz],ROW()-1),"")</f>
        <v/>
      </c>
      <c r="B466">
        <f>IFERROR(INDEX(tblStellplatz[SAP],ROW()-1),"")</f>
        <v/>
      </c>
      <c r="C466">
        <f>IF(B466="","",IFERROR(INDEX(tblMaterial[Bezeichnung],MATCH(B466,tblMaterial[SAP],0)),"?"))</f>
        <v/>
      </c>
      <c r="D466">
        <f>IF(B466="","",IFERROR(INDEX(tblMaterial[Lagerstand],MATCH(B466,tblMaterial[SAP],0)),"?"))</f>
        <v/>
      </c>
      <c r="E466">
        <f>IF(B466="","",IFERROR(INDEX(tblMaterial[Meldebestand],MATCH(B466,tblMaterial[SAP],0)),"?"))</f>
        <v/>
      </c>
      <c r="F466">
        <f>IF(OR(B466="",NOT(ISNUMBER(D466))),"",IF(D466&lt;E466,"JA",""))</f>
        <v/>
      </c>
    </row>
    <row r="467">
      <c r="A467">
        <f>IFERROR(INDEX(tblStellplatz[Stellplatz],ROW()-1),"")</f>
        <v/>
      </c>
      <c r="B467">
        <f>IFERROR(INDEX(tblStellplatz[SAP],ROW()-1),"")</f>
        <v/>
      </c>
      <c r="C467">
        <f>IF(B467="","",IFERROR(INDEX(tblMaterial[Bezeichnung],MATCH(B467,tblMaterial[SAP],0)),"?"))</f>
        <v/>
      </c>
      <c r="D467">
        <f>IF(B467="","",IFERROR(INDEX(tblMaterial[Lagerstand],MATCH(B467,tblMaterial[SAP],0)),"?"))</f>
        <v/>
      </c>
      <c r="E467">
        <f>IF(B467="","",IFERROR(INDEX(tblMaterial[Meldebestand],MATCH(B467,tblMaterial[SAP],0)),"?"))</f>
        <v/>
      </c>
      <c r="F467">
        <f>IF(OR(B467="",NOT(ISNUMBER(D467))),"",IF(D467&lt;E467,"JA",""))</f>
        <v/>
      </c>
    </row>
    <row r="468">
      <c r="A468">
        <f>IFERROR(INDEX(tblStellplatz[Stellplatz],ROW()-1),"")</f>
        <v/>
      </c>
      <c r="B468">
        <f>IFERROR(INDEX(tblStellplatz[SAP],ROW()-1),"")</f>
        <v/>
      </c>
      <c r="C468">
        <f>IF(B468="","",IFERROR(INDEX(tblMaterial[Bezeichnung],MATCH(B468,tblMaterial[SAP],0)),"?"))</f>
        <v/>
      </c>
      <c r="D468">
        <f>IF(B468="","",IFERROR(INDEX(tblMaterial[Lagerstand],MATCH(B468,tblMaterial[SAP],0)),"?"))</f>
        <v/>
      </c>
      <c r="E468">
        <f>IF(B468="","",IFERROR(INDEX(tblMaterial[Meldebestand],MATCH(B468,tblMaterial[SAP],0)),"?"))</f>
        <v/>
      </c>
      <c r="F468">
        <f>IF(OR(B468="",NOT(ISNUMBER(D468))),"",IF(D468&lt;E468,"JA",""))</f>
        <v/>
      </c>
    </row>
    <row r="469">
      <c r="A469">
        <f>IFERROR(INDEX(tblStellplatz[Stellplatz],ROW()-1),"")</f>
        <v/>
      </c>
      <c r="B469">
        <f>IFERROR(INDEX(tblStellplatz[SAP],ROW()-1),"")</f>
        <v/>
      </c>
      <c r="C469">
        <f>IF(B469="","",IFERROR(INDEX(tblMaterial[Bezeichnung],MATCH(B469,tblMaterial[SAP],0)),"?"))</f>
        <v/>
      </c>
      <c r="D469">
        <f>IF(B469="","",IFERROR(INDEX(tblMaterial[Lagerstand],MATCH(B469,tblMaterial[SAP],0)),"?"))</f>
        <v/>
      </c>
      <c r="E469">
        <f>IF(B469="","",IFERROR(INDEX(tblMaterial[Meldebestand],MATCH(B469,tblMaterial[SAP],0)),"?"))</f>
        <v/>
      </c>
      <c r="F469">
        <f>IF(OR(B469="",NOT(ISNUMBER(D469))),"",IF(D469&lt;E469,"JA",""))</f>
        <v/>
      </c>
    </row>
    <row r="470">
      <c r="A470">
        <f>IFERROR(INDEX(tblStellplatz[Stellplatz],ROW()-1),"")</f>
        <v/>
      </c>
      <c r="B470">
        <f>IFERROR(INDEX(tblStellplatz[SAP],ROW()-1),"")</f>
        <v/>
      </c>
      <c r="C470">
        <f>IF(B470="","",IFERROR(INDEX(tblMaterial[Bezeichnung],MATCH(B470,tblMaterial[SAP],0)),"?"))</f>
        <v/>
      </c>
      <c r="D470">
        <f>IF(B470="","",IFERROR(INDEX(tblMaterial[Lagerstand],MATCH(B470,tblMaterial[SAP],0)),"?"))</f>
        <v/>
      </c>
      <c r="E470">
        <f>IF(B470="","",IFERROR(INDEX(tblMaterial[Meldebestand],MATCH(B470,tblMaterial[SAP],0)),"?"))</f>
        <v/>
      </c>
      <c r="F470">
        <f>IF(OR(B470="",NOT(ISNUMBER(D470))),"",IF(D470&lt;E470,"JA",""))</f>
        <v/>
      </c>
    </row>
    <row r="471">
      <c r="A471">
        <f>IFERROR(INDEX(tblStellplatz[Stellplatz],ROW()-1),"")</f>
        <v/>
      </c>
      <c r="B471">
        <f>IFERROR(INDEX(tblStellplatz[SAP],ROW()-1),"")</f>
        <v/>
      </c>
      <c r="C471">
        <f>IF(B471="","",IFERROR(INDEX(tblMaterial[Bezeichnung],MATCH(B471,tblMaterial[SAP],0)),"?"))</f>
        <v/>
      </c>
      <c r="D471">
        <f>IF(B471="","",IFERROR(INDEX(tblMaterial[Lagerstand],MATCH(B471,tblMaterial[SAP],0)),"?"))</f>
        <v/>
      </c>
      <c r="E471">
        <f>IF(B471="","",IFERROR(INDEX(tblMaterial[Meldebestand],MATCH(B471,tblMaterial[SAP],0)),"?"))</f>
        <v/>
      </c>
      <c r="F471">
        <f>IF(OR(B471="",NOT(ISNUMBER(D471))),"",IF(D471&lt;E471,"JA",""))</f>
        <v/>
      </c>
    </row>
    <row r="472">
      <c r="A472">
        <f>IFERROR(INDEX(tblStellplatz[Stellplatz],ROW()-1),"")</f>
        <v/>
      </c>
      <c r="B472">
        <f>IFERROR(INDEX(tblStellplatz[SAP],ROW()-1),"")</f>
        <v/>
      </c>
      <c r="C472">
        <f>IF(B472="","",IFERROR(INDEX(tblMaterial[Bezeichnung],MATCH(B472,tblMaterial[SAP],0)),"?"))</f>
        <v/>
      </c>
      <c r="D472">
        <f>IF(B472="","",IFERROR(INDEX(tblMaterial[Lagerstand],MATCH(B472,tblMaterial[SAP],0)),"?"))</f>
        <v/>
      </c>
      <c r="E472">
        <f>IF(B472="","",IFERROR(INDEX(tblMaterial[Meldebestand],MATCH(B472,tblMaterial[SAP],0)),"?"))</f>
        <v/>
      </c>
      <c r="F472">
        <f>IF(OR(B472="",NOT(ISNUMBER(D472))),"",IF(D472&lt;E472,"JA",""))</f>
        <v/>
      </c>
    </row>
    <row r="473">
      <c r="A473">
        <f>IFERROR(INDEX(tblStellplatz[Stellplatz],ROW()-1),"")</f>
        <v/>
      </c>
      <c r="B473">
        <f>IFERROR(INDEX(tblStellplatz[SAP],ROW()-1),"")</f>
        <v/>
      </c>
      <c r="C473">
        <f>IF(B473="","",IFERROR(INDEX(tblMaterial[Bezeichnung],MATCH(B473,tblMaterial[SAP],0)),"?"))</f>
        <v/>
      </c>
      <c r="D473">
        <f>IF(B473="","",IFERROR(INDEX(tblMaterial[Lagerstand],MATCH(B473,tblMaterial[SAP],0)),"?"))</f>
        <v/>
      </c>
      <c r="E473">
        <f>IF(B473="","",IFERROR(INDEX(tblMaterial[Meldebestand],MATCH(B473,tblMaterial[SAP],0)),"?"))</f>
        <v/>
      </c>
      <c r="F473">
        <f>IF(OR(B473="",NOT(ISNUMBER(D473))),"",IF(D473&lt;E473,"JA",""))</f>
        <v/>
      </c>
    </row>
    <row r="474">
      <c r="A474">
        <f>IFERROR(INDEX(tblStellplatz[Stellplatz],ROW()-1),"")</f>
        <v/>
      </c>
      <c r="B474">
        <f>IFERROR(INDEX(tblStellplatz[SAP],ROW()-1),"")</f>
        <v/>
      </c>
      <c r="C474">
        <f>IF(B474="","",IFERROR(INDEX(tblMaterial[Bezeichnung],MATCH(B474,tblMaterial[SAP],0)),"?"))</f>
        <v/>
      </c>
      <c r="D474">
        <f>IF(B474="","",IFERROR(INDEX(tblMaterial[Lagerstand],MATCH(B474,tblMaterial[SAP],0)),"?"))</f>
        <v/>
      </c>
      <c r="E474">
        <f>IF(B474="","",IFERROR(INDEX(tblMaterial[Meldebestand],MATCH(B474,tblMaterial[SAP],0)),"?"))</f>
        <v/>
      </c>
      <c r="F474">
        <f>IF(OR(B474="",NOT(ISNUMBER(D474))),"",IF(D474&lt;E474,"JA",""))</f>
        <v/>
      </c>
    </row>
    <row r="475">
      <c r="A475">
        <f>IFERROR(INDEX(tblStellplatz[Stellplatz],ROW()-1),"")</f>
        <v/>
      </c>
      <c r="B475">
        <f>IFERROR(INDEX(tblStellplatz[SAP],ROW()-1),"")</f>
        <v/>
      </c>
      <c r="C475">
        <f>IF(B475="","",IFERROR(INDEX(tblMaterial[Bezeichnung],MATCH(B475,tblMaterial[SAP],0)),"?"))</f>
        <v/>
      </c>
      <c r="D475">
        <f>IF(B475="","",IFERROR(INDEX(tblMaterial[Lagerstand],MATCH(B475,tblMaterial[SAP],0)),"?"))</f>
        <v/>
      </c>
      <c r="E475">
        <f>IF(B475="","",IFERROR(INDEX(tblMaterial[Meldebestand],MATCH(B475,tblMaterial[SAP],0)),"?"))</f>
        <v/>
      </c>
      <c r="F475">
        <f>IF(OR(B475="",NOT(ISNUMBER(D475))),"",IF(D475&lt;E475,"JA",""))</f>
        <v/>
      </c>
    </row>
    <row r="476">
      <c r="A476">
        <f>IFERROR(INDEX(tblStellplatz[Stellplatz],ROW()-1),"")</f>
        <v/>
      </c>
      <c r="B476">
        <f>IFERROR(INDEX(tblStellplatz[SAP],ROW()-1),"")</f>
        <v/>
      </c>
      <c r="C476">
        <f>IF(B476="","",IFERROR(INDEX(tblMaterial[Bezeichnung],MATCH(B476,tblMaterial[SAP],0)),"?"))</f>
        <v/>
      </c>
      <c r="D476">
        <f>IF(B476="","",IFERROR(INDEX(tblMaterial[Lagerstand],MATCH(B476,tblMaterial[SAP],0)),"?"))</f>
        <v/>
      </c>
      <c r="E476">
        <f>IF(B476="","",IFERROR(INDEX(tblMaterial[Meldebestand],MATCH(B476,tblMaterial[SAP],0)),"?"))</f>
        <v/>
      </c>
      <c r="F476">
        <f>IF(OR(B476="",NOT(ISNUMBER(D476))),"",IF(D476&lt;E476,"JA",""))</f>
        <v/>
      </c>
    </row>
    <row r="477">
      <c r="A477">
        <f>IFERROR(INDEX(tblStellplatz[Stellplatz],ROW()-1),"")</f>
        <v/>
      </c>
      <c r="B477">
        <f>IFERROR(INDEX(tblStellplatz[SAP],ROW()-1),"")</f>
        <v/>
      </c>
      <c r="C477">
        <f>IF(B477="","",IFERROR(INDEX(tblMaterial[Bezeichnung],MATCH(B477,tblMaterial[SAP],0)),"?"))</f>
        <v/>
      </c>
      <c r="D477">
        <f>IF(B477="","",IFERROR(INDEX(tblMaterial[Lagerstand],MATCH(B477,tblMaterial[SAP],0)),"?"))</f>
        <v/>
      </c>
      <c r="E477">
        <f>IF(B477="","",IFERROR(INDEX(tblMaterial[Meldebestand],MATCH(B477,tblMaterial[SAP],0)),"?"))</f>
        <v/>
      </c>
      <c r="F477">
        <f>IF(OR(B477="",NOT(ISNUMBER(D477))),"",IF(D477&lt;E477,"JA",""))</f>
        <v/>
      </c>
    </row>
    <row r="478">
      <c r="A478">
        <f>IFERROR(INDEX(tblStellplatz[Stellplatz],ROW()-1),"")</f>
        <v/>
      </c>
      <c r="B478">
        <f>IFERROR(INDEX(tblStellplatz[SAP],ROW()-1),"")</f>
        <v/>
      </c>
      <c r="C478">
        <f>IF(B478="","",IFERROR(INDEX(tblMaterial[Bezeichnung],MATCH(B478,tblMaterial[SAP],0)),"?"))</f>
        <v/>
      </c>
      <c r="D478">
        <f>IF(B478="","",IFERROR(INDEX(tblMaterial[Lagerstand],MATCH(B478,tblMaterial[SAP],0)),"?"))</f>
        <v/>
      </c>
      <c r="E478">
        <f>IF(B478="","",IFERROR(INDEX(tblMaterial[Meldebestand],MATCH(B478,tblMaterial[SAP],0)),"?"))</f>
        <v/>
      </c>
      <c r="F478">
        <f>IF(OR(B478="",NOT(ISNUMBER(D478))),"",IF(D478&lt;E478,"JA",""))</f>
        <v/>
      </c>
    </row>
    <row r="479">
      <c r="A479">
        <f>IFERROR(INDEX(tblStellplatz[Stellplatz],ROW()-1),"")</f>
        <v/>
      </c>
      <c r="B479">
        <f>IFERROR(INDEX(tblStellplatz[SAP],ROW()-1),"")</f>
        <v/>
      </c>
      <c r="C479">
        <f>IF(B479="","",IFERROR(INDEX(tblMaterial[Bezeichnung],MATCH(B479,tblMaterial[SAP],0)),"?"))</f>
        <v/>
      </c>
      <c r="D479">
        <f>IF(B479="","",IFERROR(INDEX(tblMaterial[Lagerstand],MATCH(B479,tblMaterial[SAP],0)),"?"))</f>
        <v/>
      </c>
      <c r="E479">
        <f>IF(B479="","",IFERROR(INDEX(tblMaterial[Meldebestand],MATCH(B479,tblMaterial[SAP],0)),"?"))</f>
        <v/>
      </c>
      <c r="F479">
        <f>IF(OR(B479="",NOT(ISNUMBER(D479))),"",IF(D479&lt;E479,"JA",""))</f>
        <v/>
      </c>
    </row>
    <row r="480">
      <c r="A480">
        <f>IFERROR(INDEX(tblStellplatz[Stellplatz],ROW()-1),"")</f>
        <v/>
      </c>
      <c r="B480">
        <f>IFERROR(INDEX(tblStellplatz[SAP],ROW()-1),"")</f>
        <v/>
      </c>
      <c r="C480">
        <f>IF(B480="","",IFERROR(INDEX(tblMaterial[Bezeichnung],MATCH(B480,tblMaterial[SAP],0)),"?"))</f>
        <v/>
      </c>
      <c r="D480">
        <f>IF(B480="","",IFERROR(INDEX(tblMaterial[Lagerstand],MATCH(B480,tblMaterial[SAP],0)),"?"))</f>
        <v/>
      </c>
      <c r="E480">
        <f>IF(B480="","",IFERROR(INDEX(tblMaterial[Meldebestand],MATCH(B480,tblMaterial[SAP],0)),"?"))</f>
        <v/>
      </c>
      <c r="F480">
        <f>IF(OR(B480="",NOT(ISNUMBER(D480))),"",IF(D480&lt;E480,"JA",""))</f>
        <v/>
      </c>
    </row>
    <row r="481">
      <c r="A481">
        <f>IFERROR(INDEX(tblStellplatz[Stellplatz],ROW()-1),"")</f>
        <v/>
      </c>
      <c r="B481">
        <f>IFERROR(INDEX(tblStellplatz[SAP],ROW()-1),"")</f>
        <v/>
      </c>
      <c r="C481">
        <f>IF(B481="","",IFERROR(INDEX(tblMaterial[Bezeichnung],MATCH(B481,tblMaterial[SAP],0)),"?"))</f>
        <v/>
      </c>
      <c r="D481">
        <f>IF(B481="","",IFERROR(INDEX(tblMaterial[Lagerstand],MATCH(B481,tblMaterial[SAP],0)),"?"))</f>
        <v/>
      </c>
      <c r="E481">
        <f>IF(B481="","",IFERROR(INDEX(tblMaterial[Meldebestand],MATCH(B481,tblMaterial[SAP],0)),"?"))</f>
        <v/>
      </c>
      <c r="F481">
        <f>IF(OR(B481="",NOT(ISNUMBER(D481))),"",IF(D481&lt;E481,"JA",""))</f>
        <v/>
      </c>
    </row>
    <row r="482">
      <c r="A482">
        <f>IFERROR(INDEX(tblStellplatz[Stellplatz],ROW()-1),"")</f>
        <v/>
      </c>
      <c r="B482">
        <f>IFERROR(INDEX(tblStellplatz[SAP],ROW()-1),"")</f>
        <v/>
      </c>
      <c r="C482">
        <f>IF(B482="","",IFERROR(INDEX(tblMaterial[Bezeichnung],MATCH(B482,tblMaterial[SAP],0)),"?"))</f>
        <v/>
      </c>
      <c r="D482">
        <f>IF(B482="","",IFERROR(INDEX(tblMaterial[Lagerstand],MATCH(B482,tblMaterial[SAP],0)),"?"))</f>
        <v/>
      </c>
      <c r="E482">
        <f>IF(B482="","",IFERROR(INDEX(tblMaterial[Meldebestand],MATCH(B482,tblMaterial[SAP],0)),"?"))</f>
        <v/>
      </c>
      <c r="F482">
        <f>IF(OR(B482="",NOT(ISNUMBER(D482))),"",IF(D482&lt;E482,"JA",""))</f>
        <v/>
      </c>
    </row>
    <row r="483">
      <c r="A483">
        <f>IFERROR(INDEX(tblStellplatz[Stellplatz],ROW()-1),"")</f>
        <v/>
      </c>
      <c r="B483">
        <f>IFERROR(INDEX(tblStellplatz[SAP],ROW()-1),"")</f>
        <v/>
      </c>
      <c r="C483">
        <f>IF(B483="","",IFERROR(INDEX(tblMaterial[Bezeichnung],MATCH(B483,tblMaterial[SAP],0)),"?"))</f>
        <v/>
      </c>
      <c r="D483">
        <f>IF(B483="","",IFERROR(INDEX(tblMaterial[Lagerstand],MATCH(B483,tblMaterial[SAP],0)),"?"))</f>
        <v/>
      </c>
      <c r="E483">
        <f>IF(B483="","",IFERROR(INDEX(tblMaterial[Meldebestand],MATCH(B483,tblMaterial[SAP],0)),"?"))</f>
        <v/>
      </c>
      <c r="F483">
        <f>IF(OR(B483="",NOT(ISNUMBER(D483))),"",IF(D483&lt;E483,"JA",""))</f>
        <v/>
      </c>
    </row>
    <row r="484">
      <c r="A484">
        <f>IFERROR(INDEX(tblStellplatz[Stellplatz],ROW()-1),"")</f>
        <v/>
      </c>
      <c r="B484">
        <f>IFERROR(INDEX(tblStellplatz[SAP],ROW()-1),"")</f>
        <v/>
      </c>
      <c r="C484">
        <f>IF(B484="","",IFERROR(INDEX(tblMaterial[Bezeichnung],MATCH(B484,tblMaterial[SAP],0)),"?"))</f>
        <v/>
      </c>
      <c r="D484">
        <f>IF(B484="","",IFERROR(INDEX(tblMaterial[Lagerstand],MATCH(B484,tblMaterial[SAP],0)),"?"))</f>
        <v/>
      </c>
      <c r="E484">
        <f>IF(B484="","",IFERROR(INDEX(tblMaterial[Meldebestand],MATCH(B484,tblMaterial[SAP],0)),"?"))</f>
        <v/>
      </c>
      <c r="F484">
        <f>IF(OR(B484="",NOT(ISNUMBER(D484))),"",IF(D484&lt;E484,"JA",""))</f>
        <v/>
      </c>
    </row>
    <row r="485">
      <c r="A485">
        <f>IFERROR(INDEX(tblStellplatz[Stellplatz],ROW()-1),"")</f>
        <v/>
      </c>
      <c r="B485">
        <f>IFERROR(INDEX(tblStellplatz[SAP],ROW()-1),"")</f>
        <v/>
      </c>
      <c r="C485">
        <f>IF(B485="","",IFERROR(INDEX(tblMaterial[Bezeichnung],MATCH(B485,tblMaterial[SAP],0)),"?"))</f>
        <v/>
      </c>
      <c r="D485">
        <f>IF(B485="","",IFERROR(INDEX(tblMaterial[Lagerstand],MATCH(B485,tblMaterial[SAP],0)),"?"))</f>
        <v/>
      </c>
      <c r="E485">
        <f>IF(B485="","",IFERROR(INDEX(tblMaterial[Meldebestand],MATCH(B485,tblMaterial[SAP],0)),"?"))</f>
        <v/>
      </c>
      <c r="F485">
        <f>IF(OR(B485="",NOT(ISNUMBER(D485))),"",IF(D485&lt;E485,"JA",""))</f>
        <v/>
      </c>
    </row>
    <row r="486">
      <c r="A486">
        <f>IFERROR(INDEX(tblStellplatz[Stellplatz],ROW()-1),"")</f>
        <v/>
      </c>
      <c r="B486">
        <f>IFERROR(INDEX(tblStellplatz[SAP],ROW()-1),"")</f>
        <v/>
      </c>
      <c r="C486">
        <f>IF(B486="","",IFERROR(INDEX(tblMaterial[Bezeichnung],MATCH(B486,tblMaterial[SAP],0)),"?"))</f>
        <v/>
      </c>
      <c r="D486">
        <f>IF(B486="","",IFERROR(INDEX(tblMaterial[Lagerstand],MATCH(B486,tblMaterial[SAP],0)),"?"))</f>
        <v/>
      </c>
      <c r="E486">
        <f>IF(B486="","",IFERROR(INDEX(tblMaterial[Meldebestand],MATCH(B486,tblMaterial[SAP],0)),"?"))</f>
        <v/>
      </c>
      <c r="F486">
        <f>IF(OR(B486="",NOT(ISNUMBER(D486))),"",IF(D486&lt;E486,"JA",""))</f>
        <v/>
      </c>
    </row>
    <row r="487">
      <c r="A487">
        <f>IFERROR(INDEX(tblStellplatz[Stellplatz],ROW()-1),"")</f>
        <v/>
      </c>
      <c r="B487">
        <f>IFERROR(INDEX(tblStellplatz[SAP],ROW()-1),"")</f>
        <v/>
      </c>
      <c r="C487">
        <f>IF(B487="","",IFERROR(INDEX(tblMaterial[Bezeichnung],MATCH(B487,tblMaterial[SAP],0)),"?"))</f>
        <v/>
      </c>
      <c r="D487">
        <f>IF(B487="","",IFERROR(INDEX(tblMaterial[Lagerstand],MATCH(B487,tblMaterial[SAP],0)),"?"))</f>
        <v/>
      </c>
      <c r="E487">
        <f>IF(B487="","",IFERROR(INDEX(tblMaterial[Meldebestand],MATCH(B487,tblMaterial[SAP],0)),"?"))</f>
        <v/>
      </c>
      <c r="F487">
        <f>IF(OR(B487="",NOT(ISNUMBER(D487))),"",IF(D487&lt;E487,"JA",""))</f>
        <v/>
      </c>
    </row>
    <row r="488">
      <c r="A488">
        <f>IFERROR(INDEX(tblStellplatz[Stellplatz],ROW()-1),"")</f>
        <v/>
      </c>
      <c r="B488">
        <f>IFERROR(INDEX(tblStellplatz[SAP],ROW()-1),"")</f>
        <v/>
      </c>
      <c r="C488">
        <f>IF(B488="","",IFERROR(INDEX(tblMaterial[Bezeichnung],MATCH(B488,tblMaterial[SAP],0)),"?"))</f>
        <v/>
      </c>
      <c r="D488">
        <f>IF(B488="","",IFERROR(INDEX(tblMaterial[Lagerstand],MATCH(B488,tblMaterial[SAP],0)),"?"))</f>
        <v/>
      </c>
      <c r="E488">
        <f>IF(B488="","",IFERROR(INDEX(tblMaterial[Meldebestand],MATCH(B488,tblMaterial[SAP],0)),"?"))</f>
        <v/>
      </c>
      <c r="F488">
        <f>IF(OR(B488="",NOT(ISNUMBER(D488))),"",IF(D488&lt;E488,"JA",""))</f>
        <v/>
      </c>
    </row>
    <row r="489">
      <c r="A489">
        <f>IFERROR(INDEX(tblStellplatz[Stellplatz],ROW()-1),"")</f>
        <v/>
      </c>
      <c r="B489">
        <f>IFERROR(INDEX(tblStellplatz[SAP],ROW()-1),"")</f>
        <v/>
      </c>
      <c r="C489">
        <f>IF(B489="","",IFERROR(INDEX(tblMaterial[Bezeichnung],MATCH(B489,tblMaterial[SAP],0)),"?"))</f>
        <v/>
      </c>
      <c r="D489">
        <f>IF(B489="","",IFERROR(INDEX(tblMaterial[Lagerstand],MATCH(B489,tblMaterial[SAP],0)),"?"))</f>
        <v/>
      </c>
      <c r="E489">
        <f>IF(B489="","",IFERROR(INDEX(tblMaterial[Meldebestand],MATCH(B489,tblMaterial[SAP],0)),"?"))</f>
        <v/>
      </c>
      <c r="F489">
        <f>IF(OR(B489="",NOT(ISNUMBER(D489))),"",IF(D489&lt;E489,"JA",""))</f>
        <v/>
      </c>
    </row>
    <row r="490">
      <c r="A490">
        <f>IFERROR(INDEX(tblStellplatz[Stellplatz],ROW()-1),"")</f>
        <v/>
      </c>
      <c r="B490">
        <f>IFERROR(INDEX(tblStellplatz[SAP],ROW()-1),"")</f>
        <v/>
      </c>
      <c r="C490">
        <f>IF(B490="","",IFERROR(INDEX(tblMaterial[Bezeichnung],MATCH(B490,tblMaterial[SAP],0)),"?"))</f>
        <v/>
      </c>
      <c r="D490">
        <f>IF(B490="","",IFERROR(INDEX(tblMaterial[Lagerstand],MATCH(B490,tblMaterial[SAP],0)),"?"))</f>
        <v/>
      </c>
      <c r="E490">
        <f>IF(B490="","",IFERROR(INDEX(tblMaterial[Meldebestand],MATCH(B490,tblMaterial[SAP],0)),"?"))</f>
        <v/>
      </c>
      <c r="F490">
        <f>IF(OR(B490="",NOT(ISNUMBER(D490))),"",IF(D490&lt;E490,"JA",""))</f>
        <v/>
      </c>
    </row>
    <row r="491">
      <c r="A491">
        <f>IFERROR(INDEX(tblStellplatz[Stellplatz],ROW()-1),"")</f>
        <v/>
      </c>
      <c r="B491">
        <f>IFERROR(INDEX(tblStellplatz[SAP],ROW()-1),"")</f>
        <v/>
      </c>
      <c r="C491">
        <f>IF(B491="","",IFERROR(INDEX(tblMaterial[Bezeichnung],MATCH(B491,tblMaterial[SAP],0)),"?"))</f>
        <v/>
      </c>
      <c r="D491">
        <f>IF(B491="","",IFERROR(INDEX(tblMaterial[Lagerstand],MATCH(B491,tblMaterial[SAP],0)),"?"))</f>
        <v/>
      </c>
      <c r="E491">
        <f>IF(B491="","",IFERROR(INDEX(tblMaterial[Meldebestand],MATCH(B491,tblMaterial[SAP],0)),"?"))</f>
        <v/>
      </c>
      <c r="F491">
        <f>IF(OR(B491="",NOT(ISNUMBER(D491))),"",IF(D491&lt;E491,"JA",""))</f>
        <v/>
      </c>
    </row>
    <row r="492">
      <c r="A492">
        <f>IFERROR(INDEX(tblStellplatz[Stellplatz],ROW()-1),"")</f>
        <v/>
      </c>
      <c r="B492">
        <f>IFERROR(INDEX(tblStellplatz[SAP],ROW()-1),"")</f>
        <v/>
      </c>
      <c r="C492">
        <f>IF(B492="","",IFERROR(INDEX(tblMaterial[Bezeichnung],MATCH(B492,tblMaterial[SAP],0)),"?"))</f>
        <v/>
      </c>
      <c r="D492">
        <f>IF(B492="","",IFERROR(INDEX(tblMaterial[Lagerstand],MATCH(B492,tblMaterial[SAP],0)),"?"))</f>
        <v/>
      </c>
      <c r="E492">
        <f>IF(B492="","",IFERROR(INDEX(tblMaterial[Meldebestand],MATCH(B492,tblMaterial[SAP],0)),"?"))</f>
        <v/>
      </c>
      <c r="F492">
        <f>IF(OR(B492="",NOT(ISNUMBER(D492))),"",IF(D492&lt;E492,"JA",""))</f>
        <v/>
      </c>
    </row>
    <row r="493">
      <c r="A493">
        <f>IFERROR(INDEX(tblStellplatz[Stellplatz],ROW()-1),"")</f>
        <v/>
      </c>
      <c r="B493">
        <f>IFERROR(INDEX(tblStellplatz[SAP],ROW()-1),"")</f>
        <v/>
      </c>
      <c r="C493">
        <f>IF(B493="","",IFERROR(INDEX(tblMaterial[Bezeichnung],MATCH(B493,tblMaterial[SAP],0)),"?"))</f>
        <v/>
      </c>
      <c r="D493">
        <f>IF(B493="","",IFERROR(INDEX(tblMaterial[Lagerstand],MATCH(B493,tblMaterial[SAP],0)),"?"))</f>
        <v/>
      </c>
      <c r="E493">
        <f>IF(B493="","",IFERROR(INDEX(tblMaterial[Meldebestand],MATCH(B493,tblMaterial[SAP],0)),"?"))</f>
        <v/>
      </c>
      <c r="F493">
        <f>IF(OR(B493="",NOT(ISNUMBER(D493))),"",IF(D493&lt;E493,"JA",""))</f>
        <v/>
      </c>
    </row>
    <row r="494">
      <c r="A494">
        <f>IFERROR(INDEX(tblStellplatz[Stellplatz],ROW()-1),"")</f>
        <v/>
      </c>
      <c r="B494">
        <f>IFERROR(INDEX(tblStellplatz[SAP],ROW()-1),"")</f>
        <v/>
      </c>
      <c r="C494">
        <f>IF(B494="","",IFERROR(INDEX(tblMaterial[Bezeichnung],MATCH(B494,tblMaterial[SAP],0)),"?"))</f>
        <v/>
      </c>
      <c r="D494">
        <f>IF(B494="","",IFERROR(INDEX(tblMaterial[Lagerstand],MATCH(B494,tblMaterial[SAP],0)),"?"))</f>
        <v/>
      </c>
      <c r="E494">
        <f>IF(B494="","",IFERROR(INDEX(tblMaterial[Meldebestand],MATCH(B494,tblMaterial[SAP],0)),"?"))</f>
        <v/>
      </c>
      <c r="F494">
        <f>IF(OR(B494="",NOT(ISNUMBER(D494))),"",IF(D494&lt;E494,"JA",""))</f>
        <v/>
      </c>
    </row>
    <row r="495">
      <c r="A495">
        <f>IFERROR(INDEX(tblStellplatz[Stellplatz],ROW()-1),"")</f>
        <v/>
      </c>
      <c r="B495">
        <f>IFERROR(INDEX(tblStellplatz[SAP],ROW()-1),"")</f>
        <v/>
      </c>
      <c r="C495">
        <f>IF(B495="","",IFERROR(INDEX(tblMaterial[Bezeichnung],MATCH(B495,tblMaterial[SAP],0)),"?"))</f>
        <v/>
      </c>
      <c r="D495">
        <f>IF(B495="","",IFERROR(INDEX(tblMaterial[Lagerstand],MATCH(B495,tblMaterial[SAP],0)),"?"))</f>
        <v/>
      </c>
      <c r="E495">
        <f>IF(B495="","",IFERROR(INDEX(tblMaterial[Meldebestand],MATCH(B495,tblMaterial[SAP],0)),"?"))</f>
        <v/>
      </c>
      <c r="F495">
        <f>IF(OR(B495="",NOT(ISNUMBER(D495))),"",IF(D495&lt;E495,"JA",""))</f>
        <v/>
      </c>
    </row>
    <row r="496">
      <c r="A496">
        <f>IFERROR(INDEX(tblStellplatz[Stellplatz],ROW()-1),"")</f>
        <v/>
      </c>
      <c r="B496">
        <f>IFERROR(INDEX(tblStellplatz[SAP],ROW()-1),"")</f>
        <v/>
      </c>
      <c r="C496">
        <f>IF(B496="","",IFERROR(INDEX(tblMaterial[Bezeichnung],MATCH(B496,tblMaterial[SAP],0)),"?"))</f>
        <v/>
      </c>
      <c r="D496">
        <f>IF(B496="","",IFERROR(INDEX(tblMaterial[Lagerstand],MATCH(B496,tblMaterial[SAP],0)),"?"))</f>
        <v/>
      </c>
      <c r="E496">
        <f>IF(B496="","",IFERROR(INDEX(tblMaterial[Meldebestand],MATCH(B496,tblMaterial[SAP],0)),"?"))</f>
        <v/>
      </c>
      <c r="F496">
        <f>IF(OR(B496="",NOT(ISNUMBER(D496))),"",IF(D496&lt;E496,"JA",""))</f>
        <v/>
      </c>
    </row>
    <row r="497">
      <c r="A497">
        <f>IFERROR(INDEX(tblStellplatz[Stellplatz],ROW()-1),"")</f>
        <v/>
      </c>
      <c r="B497">
        <f>IFERROR(INDEX(tblStellplatz[SAP],ROW()-1),"")</f>
        <v/>
      </c>
      <c r="C497">
        <f>IF(B497="","",IFERROR(INDEX(tblMaterial[Bezeichnung],MATCH(B497,tblMaterial[SAP],0)),"?"))</f>
        <v/>
      </c>
      <c r="D497">
        <f>IF(B497="","",IFERROR(INDEX(tblMaterial[Lagerstand],MATCH(B497,tblMaterial[SAP],0)),"?"))</f>
        <v/>
      </c>
      <c r="E497">
        <f>IF(B497="","",IFERROR(INDEX(tblMaterial[Meldebestand],MATCH(B497,tblMaterial[SAP],0)),"?"))</f>
        <v/>
      </c>
      <c r="F497">
        <f>IF(OR(B497="",NOT(ISNUMBER(D497))),"",IF(D497&lt;E497,"JA",""))</f>
        <v/>
      </c>
    </row>
    <row r="498">
      <c r="A498">
        <f>IFERROR(INDEX(tblStellplatz[Stellplatz],ROW()-1),"")</f>
        <v/>
      </c>
      <c r="B498">
        <f>IFERROR(INDEX(tblStellplatz[SAP],ROW()-1),"")</f>
        <v/>
      </c>
      <c r="C498">
        <f>IF(B498="","",IFERROR(INDEX(tblMaterial[Bezeichnung],MATCH(B498,tblMaterial[SAP],0)),"?"))</f>
        <v/>
      </c>
      <c r="D498">
        <f>IF(B498="","",IFERROR(INDEX(tblMaterial[Lagerstand],MATCH(B498,tblMaterial[SAP],0)),"?"))</f>
        <v/>
      </c>
      <c r="E498">
        <f>IF(B498="","",IFERROR(INDEX(tblMaterial[Meldebestand],MATCH(B498,tblMaterial[SAP],0)),"?"))</f>
        <v/>
      </c>
      <c r="F498">
        <f>IF(OR(B498="",NOT(ISNUMBER(D498))),"",IF(D498&lt;E498,"JA",""))</f>
        <v/>
      </c>
    </row>
    <row r="499">
      <c r="A499">
        <f>IFERROR(INDEX(tblStellplatz[Stellplatz],ROW()-1),"")</f>
        <v/>
      </c>
      <c r="B499">
        <f>IFERROR(INDEX(tblStellplatz[SAP],ROW()-1),"")</f>
        <v/>
      </c>
      <c r="C499">
        <f>IF(B499="","",IFERROR(INDEX(tblMaterial[Bezeichnung],MATCH(B499,tblMaterial[SAP],0)),"?"))</f>
        <v/>
      </c>
      <c r="D499">
        <f>IF(B499="","",IFERROR(INDEX(tblMaterial[Lagerstand],MATCH(B499,tblMaterial[SAP],0)),"?"))</f>
        <v/>
      </c>
      <c r="E499">
        <f>IF(B499="","",IFERROR(INDEX(tblMaterial[Meldebestand],MATCH(B499,tblMaterial[SAP],0)),"?"))</f>
        <v/>
      </c>
      <c r="F499">
        <f>IF(OR(B499="",NOT(ISNUMBER(D499))),"",IF(D499&lt;E499,"JA",""))</f>
        <v/>
      </c>
    </row>
    <row r="500">
      <c r="A500">
        <f>IFERROR(INDEX(tblStellplatz[Stellplatz],ROW()-1),"")</f>
        <v/>
      </c>
      <c r="B500">
        <f>IFERROR(INDEX(tblStellplatz[SAP],ROW()-1),"")</f>
        <v/>
      </c>
      <c r="C500">
        <f>IF(B500="","",IFERROR(INDEX(tblMaterial[Bezeichnung],MATCH(B500,tblMaterial[SAP],0)),"?"))</f>
        <v/>
      </c>
      <c r="D500">
        <f>IF(B500="","",IFERROR(INDEX(tblMaterial[Lagerstand],MATCH(B500,tblMaterial[SAP],0)),"?"))</f>
        <v/>
      </c>
      <c r="E500">
        <f>IF(B500="","",IFERROR(INDEX(tblMaterial[Meldebestand],MATCH(B500,tblMaterial[SAP],0)),"?"))</f>
        <v/>
      </c>
      <c r="F500">
        <f>IF(OR(B500="",NOT(ISNUMBER(D500))),"",IF(D500&lt;E500,"JA",""))</f>
        <v/>
      </c>
    </row>
    <row r="501">
      <c r="A501">
        <f>IFERROR(INDEX(tblStellplatz[Stellplatz],ROW()-1),"")</f>
        <v/>
      </c>
      <c r="B501">
        <f>IFERROR(INDEX(tblStellplatz[SAP],ROW()-1),"")</f>
        <v/>
      </c>
      <c r="C501">
        <f>IF(B501="","",IFERROR(INDEX(tblMaterial[Bezeichnung],MATCH(B501,tblMaterial[SAP],0)),"?"))</f>
        <v/>
      </c>
      <c r="D501">
        <f>IF(B501="","",IFERROR(INDEX(tblMaterial[Lagerstand],MATCH(B501,tblMaterial[SAP],0)),"?"))</f>
        <v/>
      </c>
      <c r="E501">
        <f>IF(B501="","",IFERROR(INDEX(tblMaterial[Meldebestand],MATCH(B501,tblMaterial[SAP],0)),"?"))</f>
        <v/>
      </c>
      <c r="F501">
        <f>IF(OR(B501="",NOT(ISNUMBER(D501))),"",IF(D501&lt;E501,"JA",""))</f>
        <v/>
      </c>
    </row>
    <row r="502">
      <c r="A502">
        <f>IFERROR(INDEX(tblStellplatz[Stellplatz],ROW()-1),"")</f>
        <v/>
      </c>
      <c r="B502">
        <f>IFERROR(INDEX(tblStellplatz[SAP],ROW()-1),"")</f>
        <v/>
      </c>
      <c r="C502">
        <f>IF(B502="","",IFERROR(INDEX(tblMaterial[Bezeichnung],MATCH(B502,tblMaterial[SAP],0)),"?"))</f>
        <v/>
      </c>
      <c r="D502">
        <f>IF(B502="","",IFERROR(INDEX(tblMaterial[Lagerstand],MATCH(B502,tblMaterial[SAP],0)),"?"))</f>
        <v/>
      </c>
      <c r="E502">
        <f>IF(B502="","",IFERROR(INDEX(tblMaterial[Meldebestand],MATCH(B502,tblMaterial[SAP],0)),"?"))</f>
        <v/>
      </c>
      <c r="F502">
        <f>IF(OR(B502="",NOT(ISNUMBER(D502))),"",IF(D502&lt;E502,"JA",""))</f>
        <v/>
      </c>
    </row>
    <row r="503">
      <c r="A503">
        <f>IFERROR(INDEX(tblStellplatz[Stellplatz],ROW()-1),"")</f>
        <v/>
      </c>
      <c r="B503">
        <f>IFERROR(INDEX(tblStellplatz[SAP],ROW()-1),"")</f>
        <v/>
      </c>
      <c r="C503">
        <f>IF(B503="","",IFERROR(INDEX(tblMaterial[Bezeichnung],MATCH(B503,tblMaterial[SAP],0)),"?"))</f>
        <v/>
      </c>
      <c r="D503">
        <f>IF(B503="","",IFERROR(INDEX(tblMaterial[Lagerstand],MATCH(B503,tblMaterial[SAP],0)),"?"))</f>
        <v/>
      </c>
      <c r="E503">
        <f>IF(B503="","",IFERROR(INDEX(tblMaterial[Meldebestand],MATCH(B503,tblMaterial[SAP],0)),"?"))</f>
        <v/>
      </c>
      <c r="F503">
        <f>IF(OR(B503="",NOT(ISNUMBER(D503))),"",IF(D503&lt;E503,"JA",""))</f>
        <v/>
      </c>
    </row>
    <row r="504">
      <c r="A504">
        <f>IFERROR(INDEX(tblStellplatz[Stellplatz],ROW()-1),"")</f>
        <v/>
      </c>
      <c r="B504">
        <f>IFERROR(INDEX(tblStellplatz[SAP],ROW()-1),"")</f>
        <v/>
      </c>
      <c r="C504">
        <f>IF(B504="","",IFERROR(INDEX(tblMaterial[Bezeichnung],MATCH(B504,tblMaterial[SAP],0)),"?"))</f>
        <v/>
      </c>
      <c r="D504">
        <f>IF(B504="","",IFERROR(INDEX(tblMaterial[Lagerstand],MATCH(B504,tblMaterial[SAP],0)),"?"))</f>
        <v/>
      </c>
      <c r="E504">
        <f>IF(B504="","",IFERROR(INDEX(tblMaterial[Meldebestand],MATCH(B504,tblMaterial[SAP],0)),"?"))</f>
        <v/>
      </c>
      <c r="F504">
        <f>IF(OR(B504="",NOT(ISNUMBER(D504))),"",IF(D504&lt;E504,"JA",""))</f>
        <v/>
      </c>
    </row>
    <row r="505">
      <c r="A505">
        <f>IFERROR(INDEX(tblStellplatz[Stellplatz],ROW()-1),"")</f>
        <v/>
      </c>
      <c r="B505">
        <f>IFERROR(INDEX(tblStellplatz[SAP],ROW()-1),"")</f>
        <v/>
      </c>
      <c r="C505">
        <f>IF(B505="","",IFERROR(INDEX(tblMaterial[Bezeichnung],MATCH(B505,tblMaterial[SAP],0)),"?"))</f>
        <v/>
      </c>
      <c r="D505">
        <f>IF(B505="","",IFERROR(INDEX(tblMaterial[Lagerstand],MATCH(B505,tblMaterial[SAP],0)),"?"))</f>
        <v/>
      </c>
      <c r="E505">
        <f>IF(B505="","",IFERROR(INDEX(tblMaterial[Meldebestand],MATCH(B505,tblMaterial[SAP],0)),"?"))</f>
        <v/>
      </c>
      <c r="F505">
        <f>IF(OR(B505="",NOT(ISNUMBER(D505))),"",IF(D505&lt;E505,"JA",""))</f>
        <v/>
      </c>
    </row>
    <row r="506">
      <c r="A506">
        <f>IFERROR(INDEX(tblStellplatz[Stellplatz],ROW()-1),"")</f>
        <v/>
      </c>
      <c r="B506">
        <f>IFERROR(INDEX(tblStellplatz[SAP],ROW()-1),"")</f>
        <v/>
      </c>
      <c r="C506">
        <f>IF(B506="","",IFERROR(INDEX(tblMaterial[Bezeichnung],MATCH(B506,tblMaterial[SAP],0)),"?"))</f>
        <v/>
      </c>
      <c r="D506">
        <f>IF(B506="","",IFERROR(INDEX(tblMaterial[Lagerstand],MATCH(B506,tblMaterial[SAP],0)),"?"))</f>
        <v/>
      </c>
      <c r="E506">
        <f>IF(B506="","",IFERROR(INDEX(tblMaterial[Meldebestand],MATCH(B506,tblMaterial[SAP],0)),"?"))</f>
        <v/>
      </c>
      <c r="F506">
        <f>IF(OR(B506="",NOT(ISNUMBER(D506))),"",IF(D506&lt;E506,"JA",""))</f>
        <v/>
      </c>
    </row>
    <row r="507">
      <c r="A507">
        <f>IFERROR(INDEX(tblStellplatz[Stellplatz],ROW()-1),"")</f>
        <v/>
      </c>
      <c r="B507">
        <f>IFERROR(INDEX(tblStellplatz[SAP],ROW()-1),"")</f>
        <v/>
      </c>
      <c r="C507">
        <f>IF(B507="","",IFERROR(INDEX(tblMaterial[Bezeichnung],MATCH(B507,tblMaterial[SAP],0)),"?"))</f>
        <v/>
      </c>
      <c r="D507">
        <f>IF(B507="","",IFERROR(INDEX(tblMaterial[Lagerstand],MATCH(B507,tblMaterial[SAP],0)),"?"))</f>
        <v/>
      </c>
      <c r="E507">
        <f>IF(B507="","",IFERROR(INDEX(tblMaterial[Meldebestand],MATCH(B507,tblMaterial[SAP],0)),"?"))</f>
        <v/>
      </c>
      <c r="F507">
        <f>IF(OR(B507="",NOT(ISNUMBER(D507))),"",IF(D507&lt;E507,"JA",""))</f>
        <v/>
      </c>
    </row>
    <row r="508">
      <c r="A508">
        <f>IFERROR(INDEX(tblStellplatz[Stellplatz],ROW()-1),"")</f>
        <v/>
      </c>
      <c r="B508">
        <f>IFERROR(INDEX(tblStellplatz[SAP],ROW()-1),"")</f>
        <v/>
      </c>
      <c r="C508">
        <f>IF(B508="","",IFERROR(INDEX(tblMaterial[Bezeichnung],MATCH(B508,tblMaterial[SAP],0)),"?"))</f>
        <v/>
      </c>
      <c r="D508">
        <f>IF(B508="","",IFERROR(INDEX(tblMaterial[Lagerstand],MATCH(B508,tblMaterial[SAP],0)),"?"))</f>
        <v/>
      </c>
      <c r="E508">
        <f>IF(B508="","",IFERROR(INDEX(tblMaterial[Meldebestand],MATCH(B508,tblMaterial[SAP],0)),"?"))</f>
        <v/>
      </c>
      <c r="F508">
        <f>IF(OR(B508="",NOT(ISNUMBER(D508))),"",IF(D508&lt;E508,"JA",""))</f>
        <v/>
      </c>
    </row>
    <row r="509">
      <c r="A509">
        <f>IFERROR(INDEX(tblStellplatz[Stellplatz],ROW()-1),"")</f>
        <v/>
      </c>
      <c r="B509">
        <f>IFERROR(INDEX(tblStellplatz[SAP],ROW()-1),"")</f>
        <v/>
      </c>
      <c r="C509">
        <f>IF(B509="","",IFERROR(INDEX(tblMaterial[Bezeichnung],MATCH(B509,tblMaterial[SAP],0)),"?"))</f>
        <v/>
      </c>
      <c r="D509">
        <f>IF(B509="","",IFERROR(INDEX(tblMaterial[Lagerstand],MATCH(B509,tblMaterial[SAP],0)),"?"))</f>
        <v/>
      </c>
      <c r="E509">
        <f>IF(B509="","",IFERROR(INDEX(tblMaterial[Meldebestand],MATCH(B509,tblMaterial[SAP],0)),"?"))</f>
        <v/>
      </c>
      <c r="F509">
        <f>IF(OR(B509="",NOT(ISNUMBER(D509))),"",IF(D509&lt;E509,"JA",""))</f>
        <v/>
      </c>
    </row>
    <row r="510">
      <c r="A510">
        <f>IFERROR(INDEX(tblStellplatz[Stellplatz],ROW()-1),"")</f>
        <v/>
      </c>
      <c r="B510">
        <f>IFERROR(INDEX(tblStellplatz[SAP],ROW()-1),"")</f>
        <v/>
      </c>
      <c r="C510">
        <f>IF(B510="","",IFERROR(INDEX(tblMaterial[Bezeichnung],MATCH(B510,tblMaterial[SAP],0)),"?"))</f>
        <v/>
      </c>
      <c r="D510">
        <f>IF(B510="","",IFERROR(INDEX(tblMaterial[Lagerstand],MATCH(B510,tblMaterial[SAP],0)),"?"))</f>
        <v/>
      </c>
      <c r="E510">
        <f>IF(B510="","",IFERROR(INDEX(tblMaterial[Meldebestand],MATCH(B510,tblMaterial[SAP],0)),"?"))</f>
        <v/>
      </c>
      <c r="F510">
        <f>IF(OR(B510="",NOT(ISNUMBER(D510))),"",IF(D510&lt;E510,"JA",""))</f>
        <v/>
      </c>
    </row>
    <row r="511">
      <c r="A511">
        <f>IFERROR(INDEX(tblStellplatz[Stellplatz],ROW()-1),"")</f>
        <v/>
      </c>
      <c r="B511">
        <f>IFERROR(INDEX(tblStellplatz[SAP],ROW()-1),"")</f>
        <v/>
      </c>
      <c r="C511">
        <f>IF(B511="","",IFERROR(INDEX(tblMaterial[Bezeichnung],MATCH(B511,tblMaterial[SAP],0)),"?"))</f>
        <v/>
      </c>
      <c r="D511">
        <f>IF(B511="","",IFERROR(INDEX(tblMaterial[Lagerstand],MATCH(B511,tblMaterial[SAP],0)),"?"))</f>
        <v/>
      </c>
      <c r="E511">
        <f>IF(B511="","",IFERROR(INDEX(tblMaterial[Meldebestand],MATCH(B511,tblMaterial[SAP],0)),"?"))</f>
        <v/>
      </c>
      <c r="F511">
        <f>IF(OR(B511="",NOT(ISNUMBER(D511))),"",IF(D511&lt;E511,"JA",""))</f>
        <v/>
      </c>
    </row>
    <row r="512">
      <c r="A512">
        <f>IFERROR(INDEX(tblStellplatz[Stellplatz],ROW()-1),"")</f>
        <v/>
      </c>
      <c r="B512">
        <f>IFERROR(INDEX(tblStellplatz[SAP],ROW()-1),"")</f>
        <v/>
      </c>
      <c r="C512">
        <f>IF(B512="","",IFERROR(INDEX(tblMaterial[Bezeichnung],MATCH(B512,tblMaterial[SAP],0)),"?"))</f>
        <v/>
      </c>
      <c r="D512">
        <f>IF(B512="","",IFERROR(INDEX(tblMaterial[Lagerstand],MATCH(B512,tblMaterial[SAP],0)),"?"))</f>
        <v/>
      </c>
      <c r="E512">
        <f>IF(B512="","",IFERROR(INDEX(tblMaterial[Meldebestand],MATCH(B512,tblMaterial[SAP],0)),"?"))</f>
        <v/>
      </c>
      <c r="F512">
        <f>IF(OR(B512="",NOT(ISNUMBER(D512))),"",IF(D512&lt;E512,"JA",""))</f>
        <v/>
      </c>
    </row>
    <row r="513">
      <c r="A513">
        <f>IFERROR(INDEX(tblStellplatz[Stellplatz],ROW()-1),"")</f>
        <v/>
      </c>
      <c r="B513">
        <f>IFERROR(INDEX(tblStellplatz[SAP],ROW()-1),"")</f>
        <v/>
      </c>
      <c r="C513">
        <f>IF(B513="","",IFERROR(INDEX(tblMaterial[Bezeichnung],MATCH(B513,tblMaterial[SAP],0)),"?"))</f>
        <v/>
      </c>
      <c r="D513">
        <f>IF(B513="","",IFERROR(INDEX(tblMaterial[Lagerstand],MATCH(B513,tblMaterial[SAP],0)),"?"))</f>
        <v/>
      </c>
      <c r="E513">
        <f>IF(B513="","",IFERROR(INDEX(tblMaterial[Meldebestand],MATCH(B513,tblMaterial[SAP],0)),"?"))</f>
        <v/>
      </c>
      <c r="F513">
        <f>IF(OR(B513="",NOT(ISNUMBER(D513))),"",IF(D513&lt;E513,"JA",""))</f>
        <v/>
      </c>
    </row>
    <row r="514">
      <c r="A514">
        <f>IFERROR(INDEX(tblStellplatz[Stellplatz],ROW()-1),"")</f>
        <v/>
      </c>
      <c r="B514">
        <f>IFERROR(INDEX(tblStellplatz[SAP],ROW()-1),"")</f>
        <v/>
      </c>
      <c r="C514">
        <f>IF(B514="","",IFERROR(INDEX(tblMaterial[Bezeichnung],MATCH(B514,tblMaterial[SAP],0)),"?"))</f>
        <v/>
      </c>
      <c r="D514">
        <f>IF(B514="","",IFERROR(INDEX(tblMaterial[Lagerstand],MATCH(B514,tblMaterial[SAP],0)),"?"))</f>
        <v/>
      </c>
      <c r="E514">
        <f>IF(B514="","",IFERROR(INDEX(tblMaterial[Meldebestand],MATCH(B514,tblMaterial[SAP],0)),"?"))</f>
        <v/>
      </c>
      <c r="F514">
        <f>IF(OR(B514="",NOT(ISNUMBER(D514))),"",IF(D514&lt;E514,"JA",""))</f>
        <v/>
      </c>
    </row>
    <row r="515">
      <c r="A515">
        <f>IFERROR(INDEX(tblStellplatz[Stellplatz],ROW()-1),"")</f>
        <v/>
      </c>
      <c r="B515">
        <f>IFERROR(INDEX(tblStellplatz[SAP],ROW()-1),"")</f>
        <v/>
      </c>
      <c r="C515">
        <f>IF(B515="","",IFERROR(INDEX(tblMaterial[Bezeichnung],MATCH(B515,tblMaterial[SAP],0)),"?"))</f>
        <v/>
      </c>
      <c r="D515">
        <f>IF(B515="","",IFERROR(INDEX(tblMaterial[Lagerstand],MATCH(B515,tblMaterial[SAP],0)),"?"))</f>
        <v/>
      </c>
      <c r="E515">
        <f>IF(B515="","",IFERROR(INDEX(tblMaterial[Meldebestand],MATCH(B515,tblMaterial[SAP],0)),"?"))</f>
        <v/>
      </c>
      <c r="F515">
        <f>IF(OR(B515="",NOT(ISNUMBER(D515))),"",IF(D515&lt;E515,"JA",""))</f>
        <v/>
      </c>
    </row>
    <row r="516">
      <c r="A516">
        <f>IFERROR(INDEX(tblStellplatz[Stellplatz],ROW()-1),"")</f>
        <v/>
      </c>
      <c r="B516">
        <f>IFERROR(INDEX(tblStellplatz[SAP],ROW()-1),"")</f>
        <v/>
      </c>
      <c r="C516">
        <f>IF(B516="","",IFERROR(INDEX(tblMaterial[Bezeichnung],MATCH(B516,tblMaterial[SAP],0)),"?"))</f>
        <v/>
      </c>
      <c r="D516">
        <f>IF(B516="","",IFERROR(INDEX(tblMaterial[Lagerstand],MATCH(B516,tblMaterial[SAP],0)),"?"))</f>
        <v/>
      </c>
      <c r="E516">
        <f>IF(B516="","",IFERROR(INDEX(tblMaterial[Meldebestand],MATCH(B516,tblMaterial[SAP],0)),"?"))</f>
        <v/>
      </c>
      <c r="F516">
        <f>IF(OR(B516="",NOT(ISNUMBER(D516))),"",IF(D516&lt;E516,"JA",""))</f>
        <v/>
      </c>
    </row>
    <row r="517">
      <c r="A517">
        <f>IFERROR(INDEX(tblStellplatz[Stellplatz],ROW()-1),"")</f>
        <v/>
      </c>
      <c r="B517">
        <f>IFERROR(INDEX(tblStellplatz[SAP],ROW()-1),"")</f>
        <v/>
      </c>
      <c r="C517">
        <f>IF(B517="","",IFERROR(INDEX(tblMaterial[Bezeichnung],MATCH(B517,tblMaterial[SAP],0)),"?"))</f>
        <v/>
      </c>
      <c r="D517">
        <f>IF(B517="","",IFERROR(INDEX(tblMaterial[Lagerstand],MATCH(B517,tblMaterial[SAP],0)),"?"))</f>
        <v/>
      </c>
      <c r="E517">
        <f>IF(B517="","",IFERROR(INDEX(tblMaterial[Meldebestand],MATCH(B517,tblMaterial[SAP],0)),"?"))</f>
        <v/>
      </c>
      <c r="F517">
        <f>IF(OR(B517="",NOT(ISNUMBER(D517))),"",IF(D517&lt;E517,"JA",""))</f>
        <v/>
      </c>
    </row>
    <row r="518">
      <c r="A518">
        <f>IFERROR(INDEX(tblStellplatz[Stellplatz],ROW()-1),"")</f>
        <v/>
      </c>
      <c r="B518">
        <f>IFERROR(INDEX(tblStellplatz[SAP],ROW()-1),"")</f>
        <v/>
      </c>
      <c r="C518">
        <f>IF(B518="","",IFERROR(INDEX(tblMaterial[Bezeichnung],MATCH(B518,tblMaterial[SAP],0)),"?"))</f>
        <v/>
      </c>
      <c r="D518">
        <f>IF(B518="","",IFERROR(INDEX(tblMaterial[Lagerstand],MATCH(B518,tblMaterial[SAP],0)),"?"))</f>
        <v/>
      </c>
      <c r="E518">
        <f>IF(B518="","",IFERROR(INDEX(tblMaterial[Meldebestand],MATCH(B518,tblMaterial[SAP],0)),"?"))</f>
        <v/>
      </c>
      <c r="F518">
        <f>IF(OR(B518="",NOT(ISNUMBER(D518))),"",IF(D518&lt;E518,"JA",""))</f>
        <v/>
      </c>
    </row>
    <row r="519">
      <c r="A519">
        <f>IFERROR(INDEX(tblStellplatz[Stellplatz],ROW()-1),"")</f>
        <v/>
      </c>
      <c r="B519">
        <f>IFERROR(INDEX(tblStellplatz[SAP],ROW()-1),"")</f>
        <v/>
      </c>
      <c r="C519">
        <f>IF(B519="","",IFERROR(INDEX(tblMaterial[Bezeichnung],MATCH(B519,tblMaterial[SAP],0)),"?"))</f>
        <v/>
      </c>
      <c r="D519">
        <f>IF(B519="","",IFERROR(INDEX(tblMaterial[Lagerstand],MATCH(B519,tblMaterial[SAP],0)),"?"))</f>
        <v/>
      </c>
      <c r="E519">
        <f>IF(B519="","",IFERROR(INDEX(tblMaterial[Meldebestand],MATCH(B519,tblMaterial[SAP],0)),"?"))</f>
        <v/>
      </c>
      <c r="F519">
        <f>IF(OR(B519="",NOT(ISNUMBER(D519))),"",IF(D519&lt;E519,"JA",""))</f>
        <v/>
      </c>
    </row>
    <row r="520">
      <c r="A520">
        <f>IFERROR(INDEX(tblStellplatz[Stellplatz],ROW()-1),"")</f>
        <v/>
      </c>
      <c r="B520">
        <f>IFERROR(INDEX(tblStellplatz[SAP],ROW()-1),"")</f>
        <v/>
      </c>
      <c r="C520">
        <f>IF(B520="","",IFERROR(INDEX(tblMaterial[Bezeichnung],MATCH(B520,tblMaterial[SAP],0)),"?"))</f>
        <v/>
      </c>
      <c r="D520">
        <f>IF(B520="","",IFERROR(INDEX(tblMaterial[Lagerstand],MATCH(B520,tblMaterial[SAP],0)),"?"))</f>
        <v/>
      </c>
      <c r="E520">
        <f>IF(B520="","",IFERROR(INDEX(tblMaterial[Meldebestand],MATCH(B520,tblMaterial[SAP],0)),"?"))</f>
        <v/>
      </c>
      <c r="F520">
        <f>IF(OR(B520="",NOT(ISNUMBER(D520))),"",IF(D520&lt;E520,"JA",""))</f>
        <v/>
      </c>
    </row>
    <row r="521">
      <c r="A521">
        <f>IFERROR(INDEX(tblStellplatz[Stellplatz],ROW()-1),"")</f>
        <v/>
      </c>
      <c r="B521">
        <f>IFERROR(INDEX(tblStellplatz[SAP],ROW()-1),"")</f>
        <v/>
      </c>
      <c r="C521">
        <f>IF(B521="","",IFERROR(INDEX(tblMaterial[Bezeichnung],MATCH(B521,tblMaterial[SAP],0)),"?"))</f>
        <v/>
      </c>
      <c r="D521">
        <f>IF(B521="","",IFERROR(INDEX(tblMaterial[Lagerstand],MATCH(B521,tblMaterial[SAP],0)),"?"))</f>
        <v/>
      </c>
      <c r="E521">
        <f>IF(B521="","",IFERROR(INDEX(tblMaterial[Meldebestand],MATCH(B521,tblMaterial[SAP],0)),"?"))</f>
        <v/>
      </c>
      <c r="F521">
        <f>IF(OR(B521="",NOT(ISNUMBER(D521))),"",IF(D521&lt;E521,"JA",""))</f>
        <v/>
      </c>
    </row>
    <row r="522">
      <c r="A522">
        <f>IFERROR(INDEX(tblStellplatz[Stellplatz],ROW()-1),"")</f>
        <v/>
      </c>
      <c r="B522">
        <f>IFERROR(INDEX(tblStellplatz[SAP],ROW()-1),"")</f>
        <v/>
      </c>
      <c r="C522">
        <f>IF(B522="","",IFERROR(INDEX(tblMaterial[Bezeichnung],MATCH(B522,tblMaterial[SAP],0)),"?"))</f>
        <v/>
      </c>
      <c r="D522">
        <f>IF(B522="","",IFERROR(INDEX(tblMaterial[Lagerstand],MATCH(B522,tblMaterial[SAP],0)),"?"))</f>
        <v/>
      </c>
      <c r="E522">
        <f>IF(B522="","",IFERROR(INDEX(tblMaterial[Meldebestand],MATCH(B522,tblMaterial[SAP],0)),"?"))</f>
        <v/>
      </c>
      <c r="F522">
        <f>IF(OR(B522="",NOT(ISNUMBER(D522))),"",IF(D522&lt;E522,"JA",""))</f>
        <v/>
      </c>
    </row>
    <row r="523">
      <c r="A523">
        <f>IFERROR(INDEX(tblStellplatz[Stellplatz],ROW()-1),"")</f>
        <v/>
      </c>
      <c r="B523">
        <f>IFERROR(INDEX(tblStellplatz[SAP],ROW()-1),"")</f>
        <v/>
      </c>
      <c r="C523">
        <f>IF(B523="","",IFERROR(INDEX(tblMaterial[Bezeichnung],MATCH(B523,tblMaterial[SAP],0)),"?"))</f>
        <v/>
      </c>
      <c r="D523">
        <f>IF(B523="","",IFERROR(INDEX(tblMaterial[Lagerstand],MATCH(B523,tblMaterial[SAP],0)),"?"))</f>
        <v/>
      </c>
      <c r="E523">
        <f>IF(B523="","",IFERROR(INDEX(tblMaterial[Meldebestand],MATCH(B523,tblMaterial[SAP],0)),"?"))</f>
        <v/>
      </c>
      <c r="F523">
        <f>IF(OR(B523="",NOT(ISNUMBER(D523))),"",IF(D523&lt;E523,"JA",""))</f>
        <v/>
      </c>
    </row>
    <row r="524">
      <c r="A524">
        <f>IFERROR(INDEX(tblStellplatz[Stellplatz],ROW()-1),"")</f>
        <v/>
      </c>
      <c r="B524">
        <f>IFERROR(INDEX(tblStellplatz[SAP],ROW()-1),"")</f>
        <v/>
      </c>
      <c r="C524">
        <f>IF(B524="","",IFERROR(INDEX(tblMaterial[Bezeichnung],MATCH(B524,tblMaterial[SAP],0)),"?"))</f>
        <v/>
      </c>
      <c r="D524">
        <f>IF(B524="","",IFERROR(INDEX(tblMaterial[Lagerstand],MATCH(B524,tblMaterial[SAP],0)),"?"))</f>
        <v/>
      </c>
      <c r="E524">
        <f>IF(B524="","",IFERROR(INDEX(tblMaterial[Meldebestand],MATCH(B524,tblMaterial[SAP],0)),"?"))</f>
        <v/>
      </c>
      <c r="F524">
        <f>IF(OR(B524="",NOT(ISNUMBER(D524))),"",IF(D524&lt;E524,"JA",""))</f>
        <v/>
      </c>
    </row>
    <row r="525">
      <c r="A525">
        <f>IFERROR(INDEX(tblStellplatz[Stellplatz],ROW()-1),"")</f>
        <v/>
      </c>
      <c r="B525">
        <f>IFERROR(INDEX(tblStellplatz[SAP],ROW()-1),"")</f>
        <v/>
      </c>
      <c r="C525">
        <f>IF(B525="","",IFERROR(INDEX(tblMaterial[Bezeichnung],MATCH(B525,tblMaterial[SAP],0)),"?"))</f>
        <v/>
      </c>
      <c r="D525">
        <f>IF(B525="","",IFERROR(INDEX(tblMaterial[Lagerstand],MATCH(B525,tblMaterial[SAP],0)),"?"))</f>
        <v/>
      </c>
      <c r="E525">
        <f>IF(B525="","",IFERROR(INDEX(tblMaterial[Meldebestand],MATCH(B525,tblMaterial[SAP],0)),"?"))</f>
        <v/>
      </c>
      <c r="F525">
        <f>IF(OR(B525="",NOT(ISNUMBER(D525))),"",IF(D525&lt;E525,"JA",""))</f>
        <v/>
      </c>
    </row>
    <row r="526">
      <c r="A526">
        <f>IFERROR(INDEX(tblStellplatz[Stellplatz],ROW()-1),"")</f>
        <v/>
      </c>
      <c r="B526">
        <f>IFERROR(INDEX(tblStellplatz[SAP],ROW()-1),"")</f>
        <v/>
      </c>
      <c r="C526">
        <f>IF(B526="","",IFERROR(INDEX(tblMaterial[Bezeichnung],MATCH(B526,tblMaterial[SAP],0)),"?"))</f>
        <v/>
      </c>
      <c r="D526">
        <f>IF(B526="","",IFERROR(INDEX(tblMaterial[Lagerstand],MATCH(B526,tblMaterial[SAP],0)),"?"))</f>
        <v/>
      </c>
      <c r="E526">
        <f>IF(B526="","",IFERROR(INDEX(tblMaterial[Meldebestand],MATCH(B526,tblMaterial[SAP],0)),"?"))</f>
        <v/>
      </c>
      <c r="F526">
        <f>IF(OR(B526="",NOT(ISNUMBER(D526))),"",IF(D526&lt;E526,"JA",""))</f>
        <v/>
      </c>
    </row>
    <row r="527">
      <c r="A527">
        <f>IFERROR(INDEX(tblStellplatz[Stellplatz],ROW()-1),"")</f>
        <v/>
      </c>
      <c r="B527">
        <f>IFERROR(INDEX(tblStellplatz[SAP],ROW()-1),"")</f>
        <v/>
      </c>
      <c r="C527">
        <f>IF(B527="","",IFERROR(INDEX(tblMaterial[Bezeichnung],MATCH(B527,tblMaterial[SAP],0)),"?"))</f>
        <v/>
      </c>
      <c r="D527">
        <f>IF(B527="","",IFERROR(INDEX(tblMaterial[Lagerstand],MATCH(B527,tblMaterial[SAP],0)),"?"))</f>
        <v/>
      </c>
      <c r="E527">
        <f>IF(B527="","",IFERROR(INDEX(tblMaterial[Meldebestand],MATCH(B527,tblMaterial[SAP],0)),"?"))</f>
        <v/>
      </c>
      <c r="F527">
        <f>IF(OR(B527="",NOT(ISNUMBER(D527))),"",IF(D527&lt;E527,"JA",""))</f>
        <v/>
      </c>
    </row>
    <row r="528">
      <c r="A528">
        <f>IFERROR(INDEX(tblStellplatz[Stellplatz],ROW()-1),"")</f>
        <v/>
      </c>
      <c r="B528">
        <f>IFERROR(INDEX(tblStellplatz[SAP],ROW()-1),"")</f>
        <v/>
      </c>
      <c r="C528">
        <f>IF(B528="","",IFERROR(INDEX(tblMaterial[Bezeichnung],MATCH(B528,tblMaterial[SAP],0)),"?"))</f>
        <v/>
      </c>
      <c r="D528">
        <f>IF(B528="","",IFERROR(INDEX(tblMaterial[Lagerstand],MATCH(B528,tblMaterial[SAP],0)),"?"))</f>
        <v/>
      </c>
      <c r="E528">
        <f>IF(B528="","",IFERROR(INDEX(tblMaterial[Meldebestand],MATCH(B528,tblMaterial[SAP],0)),"?"))</f>
        <v/>
      </c>
      <c r="F528">
        <f>IF(OR(B528="",NOT(ISNUMBER(D528))),"",IF(D528&lt;E528,"JA",""))</f>
        <v/>
      </c>
    </row>
    <row r="529">
      <c r="A529">
        <f>IFERROR(INDEX(tblStellplatz[Stellplatz],ROW()-1),"")</f>
        <v/>
      </c>
      <c r="B529">
        <f>IFERROR(INDEX(tblStellplatz[SAP],ROW()-1),"")</f>
        <v/>
      </c>
      <c r="C529">
        <f>IF(B529="","",IFERROR(INDEX(tblMaterial[Bezeichnung],MATCH(B529,tblMaterial[SAP],0)),"?"))</f>
        <v/>
      </c>
      <c r="D529">
        <f>IF(B529="","",IFERROR(INDEX(tblMaterial[Lagerstand],MATCH(B529,tblMaterial[SAP],0)),"?"))</f>
        <v/>
      </c>
      <c r="E529">
        <f>IF(B529="","",IFERROR(INDEX(tblMaterial[Meldebestand],MATCH(B529,tblMaterial[SAP],0)),"?"))</f>
        <v/>
      </c>
      <c r="F529">
        <f>IF(OR(B529="",NOT(ISNUMBER(D529))),"",IF(D529&lt;E529,"JA",""))</f>
        <v/>
      </c>
    </row>
    <row r="530">
      <c r="A530">
        <f>IFERROR(INDEX(tblStellplatz[Stellplatz],ROW()-1),"")</f>
        <v/>
      </c>
      <c r="B530">
        <f>IFERROR(INDEX(tblStellplatz[SAP],ROW()-1),"")</f>
        <v/>
      </c>
      <c r="C530">
        <f>IF(B530="","",IFERROR(INDEX(tblMaterial[Bezeichnung],MATCH(B530,tblMaterial[SAP],0)),"?"))</f>
        <v/>
      </c>
      <c r="D530">
        <f>IF(B530="","",IFERROR(INDEX(tblMaterial[Lagerstand],MATCH(B530,tblMaterial[SAP],0)),"?"))</f>
        <v/>
      </c>
      <c r="E530">
        <f>IF(B530="","",IFERROR(INDEX(tblMaterial[Meldebestand],MATCH(B530,tblMaterial[SAP],0)),"?"))</f>
        <v/>
      </c>
      <c r="F530">
        <f>IF(OR(B530="",NOT(ISNUMBER(D530))),"",IF(D530&lt;E530,"JA",""))</f>
        <v/>
      </c>
    </row>
    <row r="531">
      <c r="A531">
        <f>IFERROR(INDEX(tblStellplatz[Stellplatz],ROW()-1),"")</f>
        <v/>
      </c>
      <c r="B531">
        <f>IFERROR(INDEX(tblStellplatz[SAP],ROW()-1),"")</f>
        <v/>
      </c>
      <c r="C531">
        <f>IF(B531="","",IFERROR(INDEX(tblMaterial[Bezeichnung],MATCH(B531,tblMaterial[SAP],0)),"?"))</f>
        <v/>
      </c>
      <c r="D531">
        <f>IF(B531="","",IFERROR(INDEX(tblMaterial[Lagerstand],MATCH(B531,tblMaterial[SAP],0)),"?"))</f>
        <v/>
      </c>
      <c r="E531">
        <f>IF(B531="","",IFERROR(INDEX(tblMaterial[Meldebestand],MATCH(B531,tblMaterial[SAP],0)),"?"))</f>
        <v/>
      </c>
      <c r="F531">
        <f>IF(OR(B531="",NOT(ISNUMBER(D531))),"",IF(D531&lt;E531,"JA",""))</f>
        <v/>
      </c>
    </row>
    <row r="532">
      <c r="A532">
        <f>IFERROR(INDEX(tblStellplatz[Stellplatz],ROW()-1),"")</f>
        <v/>
      </c>
      <c r="B532">
        <f>IFERROR(INDEX(tblStellplatz[SAP],ROW()-1),"")</f>
        <v/>
      </c>
      <c r="C532">
        <f>IF(B532="","",IFERROR(INDEX(tblMaterial[Bezeichnung],MATCH(B532,tblMaterial[SAP],0)),"?"))</f>
        <v/>
      </c>
      <c r="D532">
        <f>IF(B532="","",IFERROR(INDEX(tblMaterial[Lagerstand],MATCH(B532,tblMaterial[SAP],0)),"?"))</f>
        <v/>
      </c>
      <c r="E532">
        <f>IF(B532="","",IFERROR(INDEX(tblMaterial[Meldebestand],MATCH(B532,tblMaterial[SAP],0)),"?"))</f>
        <v/>
      </c>
      <c r="F532">
        <f>IF(OR(B532="",NOT(ISNUMBER(D532))),"",IF(D532&lt;E532,"JA",""))</f>
        <v/>
      </c>
    </row>
    <row r="533">
      <c r="A533">
        <f>IFERROR(INDEX(tblStellplatz[Stellplatz],ROW()-1),"")</f>
        <v/>
      </c>
      <c r="B533">
        <f>IFERROR(INDEX(tblStellplatz[SAP],ROW()-1),"")</f>
        <v/>
      </c>
      <c r="C533">
        <f>IF(B533="","",IFERROR(INDEX(tblMaterial[Bezeichnung],MATCH(B533,tblMaterial[SAP],0)),"?"))</f>
        <v/>
      </c>
      <c r="D533">
        <f>IF(B533="","",IFERROR(INDEX(tblMaterial[Lagerstand],MATCH(B533,tblMaterial[SAP],0)),"?"))</f>
        <v/>
      </c>
      <c r="E533">
        <f>IF(B533="","",IFERROR(INDEX(tblMaterial[Meldebestand],MATCH(B533,tblMaterial[SAP],0)),"?"))</f>
        <v/>
      </c>
      <c r="F533">
        <f>IF(OR(B533="",NOT(ISNUMBER(D533))),"",IF(D533&lt;E533,"JA",""))</f>
        <v/>
      </c>
    </row>
    <row r="534">
      <c r="A534">
        <f>IFERROR(INDEX(tblStellplatz[Stellplatz],ROW()-1),"")</f>
        <v/>
      </c>
      <c r="B534">
        <f>IFERROR(INDEX(tblStellplatz[SAP],ROW()-1),"")</f>
        <v/>
      </c>
      <c r="C534">
        <f>IF(B534="","",IFERROR(INDEX(tblMaterial[Bezeichnung],MATCH(B534,tblMaterial[SAP],0)),"?"))</f>
        <v/>
      </c>
      <c r="D534">
        <f>IF(B534="","",IFERROR(INDEX(tblMaterial[Lagerstand],MATCH(B534,tblMaterial[SAP],0)),"?"))</f>
        <v/>
      </c>
      <c r="E534">
        <f>IF(B534="","",IFERROR(INDEX(tblMaterial[Meldebestand],MATCH(B534,tblMaterial[SAP],0)),"?"))</f>
        <v/>
      </c>
      <c r="F534">
        <f>IF(OR(B534="",NOT(ISNUMBER(D534))),"",IF(D534&lt;E534,"JA",""))</f>
        <v/>
      </c>
    </row>
    <row r="535">
      <c r="A535">
        <f>IFERROR(INDEX(tblStellplatz[Stellplatz],ROW()-1),"")</f>
        <v/>
      </c>
      <c r="B535">
        <f>IFERROR(INDEX(tblStellplatz[SAP],ROW()-1),"")</f>
        <v/>
      </c>
      <c r="C535">
        <f>IF(B535="","",IFERROR(INDEX(tblMaterial[Bezeichnung],MATCH(B535,tblMaterial[SAP],0)),"?"))</f>
        <v/>
      </c>
      <c r="D535">
        <f>IF(B535="","",IFERROR(INDEX(tblMaterial[Lagerstand],MATCH(B535,tblMaterial[SAP],0)),"?"))</f>
        <v/>
      </c>
      <c r="E535">
        <f>IF(B535="","",IFERROR(INDEX(tblMaterial[Meldebestand],MATCH(B535,tblMaterial[SAP],0)),"?"))</f>
        <v/>
      </c>
      <c r="F535">
        <f>IF(OR(B535="",NOT(ISNUMBER(D535))),"",IF(D535&lt;E535,"JA",""))</f>
        <v/>
      </c>
    </row>
    <row r="536">
      <c r="A536">
        <f>IFERROR(INDEX(tblStellplatz[Stellplatz],ROW()-1),"")</f>
        <v/>
      </c>
      <c r="B536">
        <f>IFERROR(INDEX(tblStellplatz[SAP],ROW()-1),"")</f>
        <v/>
      </c>
      <c r="C536">
        <f>IF(B536="","",IFERROR(INDEX(tblMaterial[Bezeichnung],MATCH(B536,tblMaterial[SAP],0)),"?"))</f>
        <v/>
      </c>
      <c r="D536">
        <f>IF(B536="","",IFERROR(INDEX(tblMaterial[Lagerstand],MATCH(B536,tblMaterial[SAP],0)),"?"))</f>
        <v/>
      </c>
      <c r="E536">
        <f>IF(B536="","",IFERROR(INDEX(tblMaterial[Meldebestand],MATCH(B536,tblMaterial[SAP],0)),"?"))</f>
        <v/>
      </c>
      <c r="F536">
        <f>IF(OR(B536="",NOT(ISNUMBER(D536))),"",IF(D536&lt;E536,"JA",""))</f>
        <v/>
      </c>
    </row>
    <row r="537">
      <c r="A537">
        <f>IFERROR(INDEX(tblStellplatz[Stellplatz],ROW()-1),"")</f>
        <v/>
      </c>
      <c r="B537">
        <f>IFERROR(INDEX(tblStellplatz[SAP],ROW()-1),"")</f>
        <v/>
      </c>
      <c r="C537">
        <f>IF(B537="","",IFERROR(INDEX(tblMaterial[Bezeichnung],MATCH(B537,tblMaterial[SAP],0)),"?"))</f>
        <v/>
      </c>
      <c r="D537">
        <f>IF(B537="","",IFERROR(INDEX(tblMaterial[Lagerstand],MATCH(B537,tblMaterial[SAP],0)),"?"))</f>
        <v/>
      </c>
      <c r="E537">
        <f>IF(B537="","",IFERROR(INDEX(tblMaterial[Meldebestand],MATCH(B537,tblMaterial[SAP],0)),"?"))</f>
        <v/>
      </c>
      <c r="F537">
        <f>IF(OR(B537="",NOT(ISNUMBER(D537))),"",IF(D537&lt;E537,"JA",""))</f>
        <v/>
      </c>
    </row>
    <row r="538">
      <c r="A538">
        <f>IFERROR(INDEX(tblStellplatz[Stellplatz],ROW()-1),"")</f>
        <v/>
      </c>
      <c r="B538">
        <f>IFERROR(INDEX(tblStellplatz[SAP],ROW()-1),"")</f>
        <v/>
      </c>
      <c r="C538">
        <f>IF(B538="","",IFERROR(INDEX(tblMaterial[Bezeichnung],MATCH(B538,tblMaterial[SAP],0)),"?"))</f>
        <v/>
      </c>
      <c r="D538">
        <f>IF(B538="","",IFERROR(INDEX(tblMaterial[Lagerstand],MATCH(B538,tblMaterial[SAP],0)),"?"))</f>
        <v/>
      </c>
      <c r="E538">
        <f>IF(B538="","",IFERROR(INDEX(tblMaterial[Meldebestand],MATCH(B538,tblMaterial[SAP],0)),"?"))</f>
        <v/>
      </c>
      <c r="F538">
        <f>IF(OR(B538="",NOT(ISNUMBER(D538))),"",IF(D538&lt;E538,"JA",""))</f>
        <v/>
      </c>
    </row>
    <row r="539">
      <c r="A539">
        <f>IFERROR(INDEX(tblStellplatz[Stellplatz],ROW()-1),"")</f>
        <v/>
      </c>
      <c r="B539">
        <f>IFERROR(INDEX(tblStellplatz[SAP],ROW()-1),"")</f>
        <v/>
      </c>
      <c r="C539">
        <f>IF(B539="","",IFERROR(INDEX(tblMaterial[Bezeichnung],MATCH(B539,tblMaterial[SAP],0)),"?"))</f>
        <v/>
      </c>
      <c r="D539">
        <f>IF(B539="","",IFERROR(INDEX(tblMaterial[Lagerstand],MATCH(B539,tblMaterial[SAP],0)),"?"))</f>
        <v/>
      </c>
      <c r="E539">
        <f>IF(B539="","",IFERROR(INDEX(tblMaterial[Meldebestand],MATCH(B539,tblMaterial[SAP],0)),"?"))</f>
        <v/>
      </c>
      <c r="F539">
        <f>IF(OR(B539="",NOT(ISNUMBER(D539))),"",IF(D539&lt;E539,"JA",""))</f>
        <v/>
      </c>
    </row>
    <row r="540">
      <c r="A540">
        <f>IFERROR(INDEX(tblStellplatz[Stellplatz],ROW()-1),"")</f>
        <v/>
      </c>
      <c r="B540">
        <f>IFERROR(INDEX(tblStellplatz[SAP],ROW()-1),"")</f>
        <v/>
      </c>
      <c r="C540">
        <f>IF(B540="","",IFERROR(INDEX(tblMaterial[Bezeichnung],MATCH(B540,tblMaterial[SAP],0)),"?"))</f>
        <v/>
      </c>
      <c r="D540">
        <f>IF(B540="","",IFERROR(INDEX(tblMaterial[Lagerstand],MATCH(B540,tblMaterial[SAP],0)),"?"))</f>
        <v/>
      </c>
      <c r="E540">
        <f>IF(B540="","",IFERROR(INDEX(tblMaterial[Meldebestand],MATCH(B540,tblMaterial[SAP],0)),"?"))</f>
        <v/>
      </c>
      <c r="F540">
        <f>IF(OR(B540="",NOT(ISNUMBER(D540))),"",IF(D540&lt;E540,"JA",""))</f>
        <v/>
      </c>
    </row>
    <row r="541">
      <c r="A541">
        <f>IFERROR(INDEX(tblStellplatz[Stellplatz],ROW()-1),"")</f>
        <v/>
      </c>
      <c r="B541">
        <f>IFERROR(INDEX(tblStellplatz[SAP],ROW()-1),"")</f>
        <v/>
      </c>
      <c r="C541">
        <f>IF(B541="","",IFERROR(INDEX(tblMaterial[Bezeichnung],MATCH(B541,tblMaterial[SAP],0)),"?"))</f>
        <v/>
      </c>
      <c r="D541">
        <f>IF(B541="","",IFERROR(INDEX(tblMaterial[Lagerstand],MATCH(B541,tblMaterial[SAP],0)),"?"))</f>
        <v/>
      </c>
      <c r="E541">
        <f>IF(B541="","",IFERROR(INDEX(tblMaterial[Meldebestand],MATCH(B541,tblMaterial[SAP],0)),"?"))</f>
        <v/>
      </c>
      <c r="F541">
        <f>IF(OR(B541="",NOT(ISNUMBER(D541))),"",IF(D541&lt;E541,"JA",""))</f>
        <v/>
      </c>
    </row>
    <row r="542">
      <c r="A542">
        <f>IFERROR(INDEX(tblStellplatz[Stellplatz],ROW()-1),"")</f>
        <v/>
      </c>
      <c r="B542">
        <f>IFERROR(INDEX(tblStellplatz[SAP],ROW()-1),"")</f>
        <v/>
      </c>
      <c r="C542">
        <f>IF(B542="","",IFERROR(INDEX(tblMaterial[Bezeichnung],MATCH(B542,tblMaterial[SAP],0)),"?"))</f>
        <v/>
      </c>
      <c r="D542">
        <f>IF(B542="","",IFERROR(INDEX(tblMaterial[Lagerstand],MATCH(B542,tblMaterial[SAP],0)),"?"))</f>
        <v/>
      </c>
      <c r="E542">
        <f>IF(B542="","",IFERROR(INDEX(tblMaterial[Meldebestand],MATCH(B542,tblMaterial[SAP],0)),"?"))</f>
        <v/>
      </c>
      <c r="F542">
        <f>IF(OR(B542="",NOT(ISNUMBER(D542))),"",IF(D542&lt;E542,"JA",""))</f>
        <v/>
      </c>
    </row>
    <row r="543">
      <c r="A543">
        <f>IFERROR(INDEX(tblStellplatz[Stellplatz],ROW()-1),"")</f>
        <v/>
      </c>
      <c r="B543">
        <f>IFERROR(INDEX(tblStellplatz[SAP],ROW()-1),"")</f>
        <v/>
      </c>
      <c r="C543">
        <f>IF(B543="","",IFERROR(INDEX(tblMaterial[Bezeichnung],MATCH(B543,tblMaterial[SAP],0)),"?"))</f>
        <v/>
      </c>
      <c r="D543">
        <f>IF(B543="","",IFERROR(INDEX(tblMaterial[Lagerstand],MATCH(B543,tblMaterial[SAP],0)),"?"))</f>
        <v/>
      </c>
      <c r="E543">
        <f>IF(B543="","",IFERROR(INDEX(tblMaterial[Meldebestand],MATCH(B543,tblMaterial[SAP],0)),"?"))</f>
        <v/>
      </c>
      <c r="F543">
        <f>IF(OR(B543="",NOT(ISNUMBER(D543))),"",IF(D543&lt;E543,"JA",""))</f>
        <v/>
      </c>
    </row>
    <row r="544">
      <c r="A544">
        <f>IFERROR(INDEX(tblStellplatz[Stellplatz],ROW()-1),"")</f>
        <v/>
      </c>
      <c r="B544">
        <f>IFERROR(INDEX(tblStellplatz[SAP],ROW()-1),"")</f>
        <v/>
      </c>
      <c r="C544">
        <f>IF(B544="","",IFERROR(INDEX(tblMaterial[Bezeichnung],MATCH(B544,tblMaterial[SAP],0)),"?"))</f>
        <v/>
      </c>
      <c r="D544">
        <f>IF(B544="","",IFERROR(INDEX(tblMaterial[Lagerstand],MATCH(B544,tblMaterial[SAP],0)),"?"))</f>
        <v/>
      </c>
      <c r="E544">
        <f>IF(B544="","",IFERROR(INDEX(tblMaterial[Meldebestand],MATCH(B544,tblMaterial[SAP],0)),"?"))</f>
        <v/>
      </c>
      <c r="F544">
        <f>IF(OR(B544="",NOT(ISNUMBER(D544))),"",IF(D544&lt;E544,"JA",""))</f>
        <v/>
      </c>
    </row>
    <row r="545">
      <c r="A545">
        <f>IFERROR(INDEX(tblStellplatz[Stellplatz],ROW()-1),"")</f>
        <v/>
      </c>
      <c r="B545">
        <f>IFERROR(INDEX(tblStellplatz[SAP],ROW()-1),"")</f>
        <v/>
      </c>
      <c r="C545">
        <f>IF(B545="","",IFERROR(INDEX(tblMaterial[Bezeichnung],MATCH(B545,tblMaterial[SAP],0)),"?"))</f>
        <v/>
      </c>
      <c r="D545">
        <f>IF(B545="","",IFERROR(INDEX(tblMaterial[Lagerstand],MATCH(B545,tblMaterial[SAP],0)),"?"))</f>
        <v/>
      </c>
      <c r="E545">
        <f>IF(B545="","",IFERROR(INDEX(tblMaterial[Meldebestand],MATCH(B545,tblMaterial[SAP],0)),"?"))</f>
        <v/>
      </c>
      <c r="F545">
        <f>IF(OR(B545="",NOT(ISNUMBER(D545))),"",IF(D545&lt;E545,"JA",""))</f>
        <v/>
      </c>
    </row>
    <row r="546">
      <c r="A546">
        <f>IFERROR(INDEX(tblStellplatz[Stellplatz],ROW()-1),"")</f>
        <v/>
      </c>
      <c r="B546">
        <f>IFERROR(INDEX(tblStellplatz[SAP],ROW()-1),"")</f>
        <v/>
      </c>
      <c r="C546">
        <f>IF(B546="","",IFERROR(INDEX(tblMaterial[Bezeichnung],MATCH(B546,tblMaterial[SAP],0)),"?"))</f>
        <v/>
      </c>
      <c r="D546">
        <f>IF(B546="","",IFERROR(INDEX(tblMaterial[Lagerstand],MATCH(B546,tblMaterial[SAP],0)),"?"))</f>
        <v/>
      </c>
      <c r="E546">
        <f>IF(B546="","",IFERROR(INDEX(tblMaterial[Meldebestand],MATCH(B546,tblMaterial[SAP],0)),"?"))</f>
        <v/>
      </c>
      <c r="F546">
        <f>IF(OR(B546="",NOT(ISNUMBER(D546))),"",IF(D546&lt;E546,"JA",""))</f>
        <v/>
      </c>
    </row>
    <row r="547">
      <c r="A547">
        <f>IFERROR(INDEX(tblStellplatz[Stellplatz],ROW()-1),"")</f>
        <v/>
      </c>
      <c r="B547">
        <f>IFERROR(INDEX(tblStellplatz[SAP],ROW()-1),"")</f>
        <v/>
      </c>
      <c r="C547">
        <f>IF(B547="","",IFERROR(INDEX(tblMaterial[Bezeichnung],MATCH(B547,tblMaterial[SAP],0)),"?"))</f>
        <v/>
      </c>
      <c r="D547">
        <f>IF(B547="","",IFERROR(INDEX(tblMaterial[Lagerstand],MATCH(B547,tblMaterial[SAP],0)),"?"))</f>
        <v/>
      </c>
      <c r="E547">
        <f>IF(B547="","",IFERROR(INDEX(tblMaterial[Meldebestand],MATCH(B547,tblMaterial[SAP],0)),"?"))</f>
        <v/>
      </c>
      <c r="F547">
        <f>IF(OR(B547="",NOT(ISNUMBER(D547))),"",IF(D547&lt;E547,"JA",""))</f>
        <v/>
      </c>
    </row>
    <row r="548">
      <c r="A548">
        <f>IFERROR(INDEX(tblStellplatz[Stellplatz],ROW()-1),"")</f>
        <v/>
      </c>
      <c r="B548">
        <f>IFERROR(INDEX(tblStellplatz[SAP],ROW()-1),"")</f>
        <v/>
      </c>
      <c r="C548">
        <f>IF(B548="","",IFERROR(INDEX(tblMaterial[Bezeichnung],MATCH(B548,tblMaterial[SAP],0)),"?"))</f>
        <v/>
      </c>
      <c r="D548">
        <f>IF(B548="","",IFERROR(INDEX(tblMaterial[Lagerstand],MATCH(B548,tblMaterial[SAP],0)),"?"))</f>
        <v/>
      </c>
      <c r="E548">
        <f>IF(B548="","",IFERROR(INDEX(tblMaterial[Meldebestand],MATCH(B548,tblMaterial[SAP],0)),"?"))</f>
        <v/>
      </c>
      <c r="F548">
        <f>IF(OR(B548="",NOT(ISNUMBER(D548))),"",IF(D548&lt;E548,"JA",""))</f>
        <v/>
      </c>
    </row>
    <row r="549">
      <c r="A549">
        <f>IFERROR(INDEX(tblStellplatz[Stellplatz],ROW()-1),"")</f>
        <v/>
      </c>
      <c r="B549">
        <f>IFERROR(INDEX(tblStellplatz[SAP],ROW()-1),"")</f>
        <v/>
      </c>
      <c r="C549">
        <f>IF(B549="","",IFERROR(INDEX(tblMaterial[Bezeichnung],MATCH(B549,tblMaterial[SAP],0)),"?"))</f>
        <v/>
      </c>
      <c r="D549">
        <f>IF(B549="","",IFERROR(INDEX(tblMaterial[Lagerstand],MATCH(B549,tblMaterial[SAP],0)),"?"))</f>
        <v/>
      </c>
      <c r="E549">
        <f>IF(B549="","",IFERROR(INDEX(tblMaterial[Meldebestand],MATCH(B549,tblMaterial[SAP],0)),"?"))</f>
        <v/>
      </c>
      <c r="F549">
        <f>IF(OR(B549="",NOT(ISNUMBER(D549))),"",IF(D549&lt;E549,"JA",""))</f>
        <v/>
      </c>
    </row>
    <row r="550">
      <c r="A550">
        <f>IFERROR(INDEX(tblStellplatz[Stellplatz],ROW()-1),"")</f>
        <v/>
      </c>
      <c r="B550">
        <f>IFERROR(INDEX(tblStellplatz[SAP],ROW()-1),"")</f>
        <v/>
      </c>
      <c r="C550">
        <f>IF(B550="","",IFERROR(INDEX(tblMaterial[Bezeichnung],MATCH(B550,tblMaterial[SAP],0)),"?"))</f>
        <v/>
      </c>
      <c r="D550">
        <f>IF(B550="","",IFERROR(INDEX(tblMaterial[Lagerstand],MATCH(B550,tblMaterial[SAP],0)),"?"))</f>
        <v/>
      </c>
      <c r="E550">
        <f>IF(B550="","",IFERROR(INDEX(tblMaterial[Meldebestand],MATCH(B550,tblMaterial[SAP],0)),"?"))</f>
        <v/>
      </c>
      <c r="F550">
        <f>IF(OR(B550="",NOT(ISNUMBER(D550))),"",IF(D550&lt;E550,"JA",""))</f>
        <v/>
      </c>
    </row>
    <row r="551">
      <c r="A551">
        <f>IFERROR(INDEX(tblStellplatz[Stellplatz],ROW()-1),"")</f>
        <v/>
      </c>
      <c r="B551">
        <f>IFERROR(INDEX(tblStellplatz[SAP],ROW()-1),"")</f>
        <v/>
      </c>
      <c r="C551">
        <f>IF(B551="","",IFERROR(INDEX(tblMaterial[Bezeichnung],MATCH(B551,tblMaterial[SAP],0)),"?"))</f>
        <v/>
      </c>
      <c r="D551">
        <f>IF(B551="","",IFERROR(INDEX(tblMaterial[Lagerstand],MATCH(B551,tblMaterial[SAP],0)),"?"))</f>
        <v/>
      </c>
      <c r="E551">
        <f>IF(B551="","",IFERROR(INDEX(tblMaterial[Meldebestand],MATCH(B551,tblMaterial[SAP],0)),"?"))</f>
        <v/>
      </c>
      <c r="F551">
        <f>IF(OR(B551="",NOT(ISNUMBER(D551))),"",IF(D551&lt;E551,"JA",""))</f>
        <v/>
      </c>
    </row>
    <row r="552">
      <c r="A552">
        <f>IFERROR(INDEX(tblStellplatz[Stellplatz],ROW()-1),"")</f>
        <v/>
      </c>
      <c r="B552">
        <f>IFERROR(INDEX(tblStellplatz[SAP],ROW()-1),"")</f>
        <v/>
      </c>
      <c r="C552">
        <f>IF(B552="","",IFERROR(INDEX(tblMaterial[Bezeichnung],MATCH(B552,tblMaterial[SAP],0)),"?"))</f>
        <v/>
      </c>
      <c r="D552">
        <f>IF(B552="","",IFERROR(INDEX(tblMaterial[Lagerstand],MATCH(B552,tblMaterial[SAP],0)),"?"))</f>
        <v/>
      </c>
      <c r="E552">
        <f>IF(B552="","",IFERROR(INDEX(tblMaterial[Meldebestand],MATCH(B552,tblMaterial[SAP],0)),"?"))</f>
        <v/>
      </c>
      <c r="F552">
        <f>IF(OR(B552="",NOT(ISNUMBER(D552))),"",IF(D552&lt;E552,"JA",""))</f>
        <v/>
      </c>
    </row>
    <row r="553">
      <c r="A553">
        <f>IFERROR(INDEX(tblStellplatz[Stellplatz],ROW()-1),"")</f>
        <v/>
      </c>
      <c r="B553">
        <f>IFERROR(INDEX(tblStellplatz[SAP],ROW()-1),"")</f>
        <v/>
      </c>
      <c r="C553">
        <f>IF(B553="","",IFERROR(INDEX(tblMaterial[Bezeichnung],MATCH(B553,tblMaterial[SAP],0)),"?"))</f>
        <v/>
      </c>
      <c r="D553">
        <f>IF(B553="","",IFERROR(INDEX(tblMaterial[Lagerstand],MATCH(B553,tblMaterial[SAP],0)),"?"))</f>
        <v/>
      </c>
      <c r="E553">
        <f>IF(B553="","",IFERROR(INDEX(tblMaterial[Meldebestand],MATCH(B553,tblMaterial[SAP],0)),"?"))</f>
        <v/>
      </c>
      <c r="F553">
        <f>IF(OR(B553="",NOT(ISNUMBER(D553))),"",IF(D553&lt;E553,"JA",""))</f>
        <v/>
      </c>
    </row>
    <row r="554">
      <c r="A554">
        <f>IFERROR(INDEX(tblStellplatz[Stellplatz],ROW()-1),"")</f>
        <v/>
      </c>
      <c r="B554">
        <f>IFERROR(INDEX(tblStellplatz[SAP],ROW()-1),"")</f>
        <v/>
      </c>
      <c r="C554">
        <f>IF(B554="","",IFERROR(INDEX(tblMaterial[Bezeichnung],MATCH(B554,tblMaterial[SAP],0)),"?"))</f>
        <v/>
      </c>
      <c r="D554">
        <f>IF(B554="","",IFERROR(INDEX(tblMaterial[Lagerstand],MATCH(B554,tblMaterial[SAP],0)),"?"))</f>
        <v/>
      </c>
      <c r="E554">
        <f>IF(B554="","",IFERROR(INDEX(tblMaterial[Meldebestand],MATCH(B554,tblMaterial[SAP],0)),"?"))</f>
        <v/>
      </c>
      <c r="F554">
        <f>IF(OR(B554="",NOT(ISNUMBER(D554))),"",IF(D554&lt;E554,"JA",""))</f>
        <v/>
      </c>
    </row>
    <row r="555">
      <c r="A555">
        <f>IFERROR(INDEX(tblStellplatz[Stellplatz],ROW()-1),"")</f>
        <v/>
      </c>
      <c r="B555">
        <f>IFERROR(INDEX(tblStellplatz[SAP],ROW()-1),"")</f>
        <v/>
      </c>
      <c r="C555">
        <f>IF(B555="","",IFERROR(INDEX(tblMaterial[Bezeichnung],MATCH(B555,tblMaterial[SAP],0)),"?"))</f>
        <v/>
      </c>
      <c r="D555">
        <f>IF(B555="","",IFERROR(INDEX(tblMaterial[Lagerstand],MATCH(B555,tblMaterial[SAP],0)),"?"))</f>
        <v/>
      </c>
      <c r="E555">
        <f>IF(B555="","",IFERROR(INDEX(tblMaterial[Meldebestand],MATCH(B555,tblMaterial[SAP],0)),"?"))</f>
        <v/>
      </c>
      <c r="F555">
        <f>IF(OR(B555="",NOT(ISNUMBER(D555))),"",IF(D555&lt;E555,"JA",""))</f>
        <v/>
      </c>
    </row>
    <row r="556">
      <c r="A556">
        <f>IFERROR(INDEX(tblStellplatz[Stellplatz],ROW()-1),"")</f>
        <v/>
      </c>
      <c r="B556">
        <f>IFERROR(INDEX(tblStellplatz[SAP],ROW()-1),"")</f>
        <v/>
      </c>
      <c r="C556">
        <f>IF(B556="","",IFERROR(INDEX(tblMaterial[Bezeichnung],MATCH(B556,tblMaterial[SAP],0)),"?"))</f>
        <v/>
      </c>
      <c r="D556">
        <f>IF(B556="","",IFERROR(INDEX(tblMaterial[Lagerstand],MATCH(B556,tblMaterial[SAP],0)),"?"))</f>
        <v/>
      </c>
      <c r="E556">
        <f>IF(B556="","",IFERROR(INDEX(tblMaterial[Meldebestand],MATCH(B556,tblMaterial[SAP],0)),"?"))</f>
        <v/>
      </c>
      <c r="F556">
        <f>IF(OR(B556="",NOT(ISNUMBER(D556))),"",IF(D556&lt;E556,"JA",""))</f>
        <v/>
      </c>
    </row>
    <row r="557">
      <c r="A557">
        <f>IFERROR(INDEX(tblStellplatz[Stellplatz],ROW()-1),"")</f>
        <v/>
      </c>
      <c r="B557">
        <f>IFERROR(INDEX(tblStellplatz[SAP],ROW()-1),"")</f>
        <v/>
      </c>
      <c r="C557">
        <f>IF(B557="","",IFERROR(INDEX(tblMaterial[Bezeichnung],MATCH(B557,tblMaterial[SAP],0)),"?"))</f>
        <v/>
      </c>
      <c r="D557">
        <f>IF(B557="","",IFERROR(INDEX(tblMaterial[Lagerstand],MATCH(B557,tblMaterial[SAP],0)),"?"))</f>
        <v/>
      </c>
      <c r="E557">
        <f>IF(B557="","",IFERROR(INDEX(tblMaterial[Meldebestand],MATCH(B557,tblMaterial[SAP],0)),"?"))</f>
        <v/>
      </c>
      <c r="F557">
        <f>IF(OR(B557="",NOT(ISNUMBER(D557))),"",IF(D557&lt;E557,"JA",""))</f>
        <v/>
      </c>
    </row>
    <row r="558">
      <c r="A558">
        <f>IFERROR(INDEX(tblStellplatz[Stellplatz],ROW()-1),"")</f>
        <v/>
      </c>
      <c r="B558">
        <f>IFERROR(INDEX(tblStellplatz[SAP],ROW()-1),"")</f>
        <v/>
      </c>
      <c r="C558">
        <f>IF(B558="","",IFERROR(INDEX(tblMaterial[Bezeichnung],MATCH(B558,tblMaterial[SAP],0)),"?"))</f>
        <v/>
      </c>
      <c r="D558">
        <f>IF(B558="","",IFERROR(INDEX(tblMaterial[Lagerstand],MATCH(B558,tblMaterial[SAP],0)),"?"))</f>
        <v/>
      </c>
      <c r="E558">
        <f>IF(B558="","",IFERROR(INDEX(tblMaterial[Meldebestand],MATCH(B558,tblMaterial[SAP],0)),"?"))</f>
        <v/>
      </c>
      <c r="F558">
        <f>IF(OR(B558="",NOT(ISNUMBER(D558))),"",IF(D558&lt;E558,"JA",""))</f>
        <v/>
      </c>
    </row>
    <row r="559">
      <c r="A559">
        <f>IFERROR(INDEX(tblStellplatz[Stellplatz],ROW()-1),"")</f>
        <v/>
      </c>
      <c r="B559">
        <f>IFERROR(INDEX(tblStellplatz[SAP],ROW()-1),"")</f>
        <v/>
      </c>
      <c r="C559">
        <f>IF(B559="","",IFERROR(INDEX(tblMaterial[Bezeichnung],MATCH(B559,tblMaterial[SAP],0)),"?"))</f>
        <v/>
      </c>
      <c r="D559">
        <f>IF(B559="","",IFERROR(INDEX(tblMaterial[Lagerstand],MATCH(B559,tblMaterial[SAP],0)),"?"))</f>
        <v/>
      </c>
      <c r="E559">
        <f>IF(B559="","",IFERROR(INDEX(tblMaterial[Meldebestand],MATCH(B559,tblMaterial[SAP],0)),"?"))</f>
        <v/>
      </c>
      <c r="F559">
        <f>IF(OR(B559="",NOT(ISNUMBER(D559))),"",IF(D559&lt;E559,"JA",""))</f>
        <v/>
      </c>
    </row>
    <row r="560">
      <c r="A560">
        <f>IFERROR(INDEX(tblStellplatz[Stellplatz],ROW()-1),"")</f>
        <v/>
      </c>
      <c r="B560">
        <f>IFERROR(INDEX(tblStellplatz[SAP],ROW()-1),"")</f>
        <v/>
      </c>
      <c r="C560">
        <f>IF(B560="","",IFERROR(INDEX(tblMaterial[Bezeichnung],MATCH(B560,tblMaterial[SAP],0)),"?"))</f>
        <v/>
      </c>
      <c r="D560">
        <f>IF(B560="","",IFERROR(INDEX(tblMaterial[Lagerstand],MATCH(B560,tblMaterial[SAP],0)),"?"))</f>
        <v/>
      </c>
      <c r="E560">
        <f>IF(B560="","",IFERROR(INDEX(tblMaterial[Meldebestand],MATCH(B560,tblMaterial[SAP],0)),"?"))</f>
        <v/>
      </c>
      <c r="F560">
        <f>IF(OR(B560="",NOT(ISNUMBER(D560))),"",IF(D560&lt;E560,"JA",""))</f>
        <v/>
      </c>
    </row>
    <row r="561">
      <c r="A561">
        <f>IFERROR(INDEX(tblStellplatz[Stellplatz],ROW()-1),"")</f>
        <v/>
      </c>
      <c r="B561">
        <f>IFERROR(INDEX(tblStellplatz[SAP],ROW()-1),"")</f>
        <v/>
      </c>
      <c r="C561">
        <f>IF(B561="","",IFERROR(INDEX(tblMaterial[Bezeichnung],MATCH(B561,tblMaterial[SAP],0)),"?"))</f>
        <v/>
      </c>
      <c r="D561">
        <f>IF(B561="","",IFERROR(INDEX(tblMaterial[Lagerstand],MATCH(B561,tblMaterial[SAP],0)),"?"))</f>
        <v/>
      </c>
      <c r="E561">
        <f>IF(B561="","",IFERROR(INDEX(tblMaterial[Meldebestand],MATCH(B561,tblMaterial[SAP],0)),"?"))</f>
        <v/>
      </c>
      <c r="F561">
        <f>IF(OR(B561="",NOT(ISNUMBER(D561))),"",IF(D561&lt;E561,"JA",""))</f>
        <v/>
      </c>
    </row>
    <row r="562">
      <c r="A562">
        <f>IFERROR(INDEX(tblStellplatz[Stellplatz],ROW()-1),"")</f>
        <v/>
      </c>
      <c r="B562">
        <f>IFERROR(INDEX(tblStellplatz[SAP],ROW()-1),"")</f>
        <v/>
      </c>
      <c r="C562">
        <f>IF(B562="","",IFERROR(INDEX(tblMaterial[Bezeichnung],MATCH(B562,tblMaterial[SAP],0)),"?"))</f>
        <v/>
      </c>
      <c r="D562">
        <f>IF(B562="","",IFERROR(INDEX(tblMaterial[Lagerstand],MATCH(B562,tblMaterial[SAP],0)),"?"))</f>
        <v/>
      </c>
      <c r="E562">
        <f>IF(B562="","",IFERROR(INDEX(tblMaterial[Meldebestand],MATCH(B562,tblMaterial[SAP],0)),"?"))</f>
        <v/>
      </c>
      <c r="F562">
        <f>IF(OR(B562="",NOT(ISNUMBER(D562))),"",IF(D562&lt;E562,"JA",""))</f>
        <v/>
      </c>
    </row>
    <row r="563">
      <c r="A563">
        <f>IFERROR(INDEX(tblStellplatz[Stellplatz],ROW()-1),"")</f>
        <v/>
      </c>
      <c r="B563">
        <f>IFERROR(INDEX(tblStellplatz[SAP],ROW()-1),"")</f>
        <v/>
      </c>
      <c r="C563">
        <f>IF(B563="","",IFERROR(INDEX(tblMaterial[Bezeichnung],MATCH(B563,tblMaterial[SAP],0)),"?"))</f>
        <v/>
      </c>
      <c r="D563">
        <f>IF(B563="","",IFERROR(INDEX(tblMaterial[Lagerstand],MATCH(B563,tblMaterial[SAP],0)),"?"))</f>
        <v/>
      </c>
      <c r="E563">
        <f>IF(B563="","",IFERROR(INDEX(tblMaterial[Meldebestand],MATCH(B563,tblMaterial[SAP],0)),"?"))</f>
        <v/>
      </c>
      <c r="F563">
        <f>IF(OR(B563="",NOT(ISNUMBER(D563))),"",IF(D563&lt;E563,"JA",""))</f>
        <v/>
      </c>
    </row>
    <row r="564">
      <c r="A564">
        <f>IFERROR(INDEX(tblStellplatz[Stellplatz],ROW()-1),"")</f>
        <v/>
      </c>
      <c r="B564">
        <f>IFERROR(INDEX(tblStellplatz[SAP],ROW()-1),"")</f>
        <v/>
      </c>
      <c r="C564">
        <f>IF(B564="","",IFERROR(INDEX(tblMaterial[Bezeichnung],MATCH(B564,tblMaterial[SAP],0)),"?"))</f>
        <v/>
      </c>
      <c r="D564">
        <f>IF(B564="","",IFERROR(INDEX(tblMaterial[Lagerstand],MATCH(B564,tblMaterial[SAP],0)),"?"))</f>
        <v/>
      </c>
      <c r="E564">
        <f>IF(B564="","",IFERROR(INDEX(tblMaterial[Meldebestand],MATCH(B564,tblMaterial[SAP],0)),"?"))</f>
        <v/>
      </c>
      <c r="F564">
        <f>IF(OR(B564="",NOT(ISNUMBER(D564))),"",IF(D564&lt;E564,"JA",""))</f>
        <v/>
      </c>
    </row>
    <row r="565">
      <c r="A565">
        <f>IFERROR(INDEX(tblStellplatz[Stellplatz],ROW()-1),"")</f>
        <v/>
      </c>
      <c r="B565">
        <f>IFERROR(INDEX(tblStellplatz[SAP],ROW()-1),"")</f>
        <v/>
      </c>
      <c r="C565">
        <f>IF(B565="","",IFERROR(INDEX(tblMaterial[Bezeichnung],MATCH(B565,tblMaterial[SAP],0)),"?"))</f>
        <v/>
      </c>
      <c r="D565">
        <f>IF(B565="","",IFERROR(INDEX(tblMaterial[Lagerstand],MATCH(B565,tblMaterial[SAP],0)),"?"))</f>
        <v/>
      </c>
      <c r="E565">
        <f>IF(B565="","",IFERROR(INDEX(tblMaterial[Meldebestand],MATCH(B565,tblMaterial[SAP],0)),"?"))</f>
        <v/>
      </c>
      <c r="F565">
        <f>IF(OR(B565="",NOT(ISNUMBER(D565))),"",IF(D565&lt;E565,"JA",""))</f>
        <v/>
      </c>
    </row>
    <row r="566">
      <c r="A566">
        <f>IFERROR(INDEX(tblStellplatz[Stellplatz],ROW()-1),"")</f>
        <v/>
      </c>
      <c r="B566">
        <f>IFERROR(INDEX(tblStellplatz[SAP],ROW()-1),"")</f>
        <v/>
      </c>
      <c r="C566">
        <f>IF(B566="","",IFERROR(INDEX(tblMaterial[Bezeichnung],MATCH(B566,tblMaterial[SAP],0)),"?"))</f>
        <v/>
      </c>
      <c r="D566">
        <f>IF(B566="","",IFERROR(INDEX(tblMaterial[Lagerstand],MATCH(B566,tblMaterial[SAP],0)),"?"))</f>
        <v/>
      </c>
      <c r="E566">
        <f>IF(B566="","",IFERROR(INDEX(tblMaterial[Meldebestand],MATCH(B566,tblMaterial[SAP],0)),"?"))</f>
        <v/>
      </c>
      <c r="F566">
        <f>IF(OR(B566="",NOT(ISNUMBER(D566))),"",IF(D566&lt;E566,"JA",""))</f>
        <v/>
      </c>
    </row>
    <row r="567">
      <c r="A567">
        <f>IFERROR(INDEX(tblStellplatz[Stellplatz],ROW()-1),"")</f>
        <v/>
      </c>
      <c r="B567">
        <f>IFERROR(INDEX(tblStellplatz[SAP],ROW()-1),"")</f>
        <v/>
      </c>
      <c r="C567">
        <f>IF(B567="","",IFERROR(INDEX(tblMaterial[Bezeichnung],MATCH(B567,tblMaterial[SAP],0)),"?"))</f>
        <v/>
      </c>
      <c r="D567">
        <f>IF(B567="","",IFERROR(INDEX(tblMaterial[Lagerstand],MATCH(B567,tblMaterial[SAP],0)),"?"))</f>
        <v/>
      </c>
      <c r="E567">
        <f>IF(B567="","",IFERROR(INDEX(tblMaterial[Meldebestand],MATCH(B567,tblMaterial[SAP],0)),"?"))</f>
        <v/>
      </c>
      <c r="F567">
        <f>IF(OR(B567="",NOT(ISNUMBER(D567))),"",IF(D567&lt;E567,"JA",""))</f>
        <v/>
      </c>
    </row>
    <row r="568">
      <c r="A568">
        <f>IFERROR(INDEX(tblStellplatz[Stellplatz],ROW()-1),"")</f>
        <v/>
      </c>
      <c r="B568">
        <f>IFERROR(INDEX(tblStellplatz[SAP],ROW()-1),"")</f>
        <v/>
      </c>
      <c r="C568">
        <f>IF(B568="","",IFERROR(INDEX(tblMaterial[Bezeichnung],MATCH(B568,tblMaterial[SAP],0)),"?"))</f>
        <v/>
      </c>
      <c r="D568">
        <f>IF(B568="","",IFERROR(INDEX(tblMaterial[Lagerstand],MATCH(B568,tblMaterial[SAP],0)),"?"))</f>
        <v/>
      </c>
      <c r="E568">
        <f>IF(B568="","",IFERROR(INDEX(tblMaterial[Meldebestand],MATCH(B568,tblMaterial[SAP],0)),"?"))</f>
        <v/>
      </c>
      <c r="F568">
        <f>IF(OR(B568="",NOT(ISNUMBER(D568))),"",IF(D568&lt;E568,"JA",""))</f>
        <v/>
      </c>
    </row>
    <row r="569">
      <c r="A569">
        <f>IFERROR(INDEX(tblStellplatz[Stellplatz],ROW()-1),"")</f>
        <v/>
      </c>
      <c r="B569">
        <f>IFERROR(INDEX(tblStellplatz[SAP],ROW()-1),"")</f>
        <v/>
      </c>
      <c r="C569">
        <f>IF(B569="","",IFERROR(INDEX(tblMaterial[Bezeichnung],MATCH(B569,tblMaterial[SAP],0)),"?"))</f>
        <v/>
      </c>
      <c r="D569">
        <f>IF(B569="","",IFERROR(INDEX(tblMaterial[Lagerstand],MATCH(B569,tblMaterial[SAP],0)),"?"))</f>
        <v/>
      </c>
      <c r="E569">
        <f>IF(B569="","",IFERROR(INDEX(tblMaterial[Meldebestand],MATCH(B569,tblMaterial[SAP],0)),"?"))</f>
        <v/>
      </c>
      <c r="F569">
        <f>IF(OR(B569="",NOT(ISNUMBER(D569))),"",IF(D569&lt;E569,"JA",""))</f>
        <v/>
      </c>
    </row>
    <row r="570">
      <c r="A570">
        <f>IFERROR(INDEX(tblStellplatz[Stellplatz],ROW()-1),"")</f>
        <v/>
      </c>
      <c r="B570">
        <f>IFERROR(INDEX(tblStellplatz[SAP],ROW()-1),"")</f>
        <v/>
      </c>
      <c r="C570">
        <f>IF(B570="","",IFERROR(INDEX(tblMaterial[Bezeichnung],MATCH(B570,tblMaterial[SAP],0)),"?"))</f>
        <v/>
      </c>
      <c r="D570">
        <f>IF(B570="","",IFERROR(INDEX(tblMaterial[Lagerstand],MATCH(B570,tblMaterial[SAP],0)),"?"))</f>
        <v/>
      </c>
      <c r="E570">
        <f>IF(B570="","",IFERROR(INDEX(tblMaterial[Meldebestand],MATCH(B570,tblMaterial[SAP],0)),"?"))</f>
        <v/>
      </c>
      <c r="F570">
        <f>IF(OR(B570="",NOT(ISNUMBER(D570))),"",IF(D570&lt;E570,"JA",""))</f>
        <v/>
      </c>
    </row>
    <row r="571">
      <c r="A571">
        <f>IFERROR(INDEX(tblStellplatz[Stellplatz],ROW()-1),"")</f>
        <v/>
      </c>
      <c r="B571">
        <f>IFERROR(INDEX(tblStellplatz[SAP],ROW()-1),"")</f>
        <v/>
      </c>
      <c r="C571">
        <f>IF(B571="","",IFERROR(INDEX(tblMaterial[Bezeichnung],MATCH(B571,tblMaterial[SAP],0)),"?"))</f>
        <v/>
      </c>
      <c r="D571">
        <f>IF(B571="","",IFERROR(INDEX(tblMaterial[Lagerstand],MATCH(B571,tblMaterial[SAP],0)),"?"))</f>
        <v/>
      </c>
      <c r="E571">
        <f>IF(B571="","",IFERROR(INDEX(tblMaterial[Meldebestand],MATCH(B571,tblMaterial[SAP],0)),"?"))</f>
        <v/>
      </c>
      <c r="F571">
        <f>IF(OR(B571="",NOT(ISNUMBER(D571))),"",IF(D571&lt;E571,"JA",""))</f>
        <v/>
      </c>
    </row>
    <row r="572">
      <c r="A572">
        <f>IFERROR(INDEX(tblStellplatz[Stellplatz],ROW()-1),"")</f>
        <v/>
      </c>
      <c r="B572">
        <f>IFERROR(INDEX(tblStellplatz[SAP],ROW()-1),"")</f>
        <v/>
      </c>
      <c r="C572">
        <f>IF(B572="","",IFERROR(INDEX(tblMaterial[Bezeichnung],MATCH(B572,tblMaterial[SAP],0)),"?"))</f>
        <v/>
      </c>
      <c r="D572">
        <f>IF(B572="","",IFERROR(INDEX(tblMaterial[Lagerstand],MATCH(B572,tblMaterial[SAP],0)),"?"))</f>
        <v/>
      </c>
      <c r="E572">
        <f>IF(B572="","",IFERROR(INDEX(tblMaterial[Meldebestand],MATCH(B572,tblMaterial[SAP],0)),"?"))</f>
        <v/>
      </c>
      <c r="F572">
        <f>IF(OR(B572="",NOT(ISNUMBER(D572))),"",IF(D572&lt;E572,"JA",""))</f>
        <v/>
      </c>
    </row>
    <row r="573">
      <c r="A573">
        <f>IFERROR(INDEX(tblStellplatz[Stellplatz],ROW()-1),"")</f>
        <v/>
      </c>
      <c r="B573">
        <f>IFERROR(INDEX(tblStellplatz[SAP],ROW()-1),"")</f>
        <v/>
      </c>
      <c r="C573">
        <f>IF(B573="","",IFERROR(INDEX(tblMaterial[Bezeichnung],MATCH(B573,tblMaterial[SAP],0)),"?"))</f>
        <v/>
      </c>
      <c r="D573">
        <f>IF(B573="","",IFERROR(INDEX(tblMaterial[Lagerstand],MATCH(B573,tblMaterial[SAP],0)),"?"))</f>
        <v/>
      </c>
      <c r="E573">
        <f>IF(B573="","",IFERROR(INDEX(tblMaterial[Meldebestand],MATCH(B573,tblMaterial[SAP],0)),"?"))</f>
        <v/>
      </c>
      <c r="F573">
        <f>IF(OR(B573="",NOT(ISNUMBER(D573))),"",IF(D573&lt;E573,"JA",""))</f>
        <v/>
      </c>
    </row>
    <row r="574">
      <c r="A574">
        <f>IFERROR(INDEX(tblStellplatz[Stellplatz],ROW()-1),"")</f>
        <v/>
      </c>
      <c r="B574">
        <f>IFERROR(INDEX(tblStellplatz[SAP],ROW()-1),"")</f>
        <v/>
      </c>
      <c r="C574">
        <f>IF(B574="","",IFERROR(INDEX(tblMaterial[Bezeichnung],MATCH(B574,tblMaterial[SAP],0)),"?"))</f>
        <v/>
      </c>
      <c r="D574">
        <f>IF(B574="","",IFERROR(INDEX(tblMaterial[Lagerstand],MATCH(B574,tblMaterial[SAP],0)),"?"))</f>
        <v/>
      </c>
      <c r="E574">
        <f>IF(B574="","",IFERROR(INDEX(tblMaterial[Meldebestand],MATCH(B574,tblMaterial[SAP],0)),"?"))</f>
        <v/>
      </c>
      <c r="F574">
        <f>IF(OR(B574="",NOT(ISNUMBER(D574))),"",IF(D574&lt;E574,"JA",""))</f>
        <v/>
      </c>
    </row>
    <row r="575">
      <c r="A575">
        <f>IFERROR(INDEX(tblStellplatz[Stellplatz],ROW()-1),"")</f>
        <v/>
      </c>
      <c r="B575">
        <f>IFERROR(INDEX(tblStellplatz[SAP],ROW()-1),"")</f>
        <v/>
      </c>
      <c r="C575">
        <f>IF(B575="","",IFERROR(INDEX(tblMaterial[Bezeichnung],MATCH(B575,tblMaterial[SAP],0)),"?"))</f>
        <v/>
      </c>
      <c r="D575">
        <f>IF(B575="","",IFERROR(INDEX(tblMaterial[Lagerstand],MATCH(B575,tblMaterial[SAP],0)),"?"))</f>
        <v/>
      </c>
      <c r="E575">
        <f>IF(B575="","",IFERROR(INDEX(tblMaterial[Meldebestand],MATCH(B575,tblMaterial[SAP],0)),"?"))</f>
        <v/>
      </c>
      <c r="F575">
        <f>IF(OR(B575="",NOT(ISNUMBER(D575))),"",IF(D575&lt;E575,"JA",""))</f>
        <v/>
      </c>
    </row>
    <row r="576">
      <c r="A576">
        <f>IFERROR(INDEX(tblStellplatz[Stellplatz],ROW()-1),"")</f>
        <v/>
      </c>
      <c r="B576">
        <f>IFERROR(INDEX(tblStellplatz[SAP],ROW()-1),"")</f>
        <v/>
      </c>
      <c r="C576">
        <f>IF(B576="","",IFERROR(INDEX(tblMaterial[Bezeichnung],MATCH(B576,tblMaterial[SAP],0)),"?"))</f>
        <v/>
      </c>
      <c r="D576">
        <f>IF(B576="","",IFERROR(INDEX(tblMaterial[Lagerstand],MATCH(B576,tblMaterial[SAP],0)),"?"))</f>
        <v/>
      </c>
      <c r="E576">
        <f>IF(B576="","",IFERROR(INDEX(tblMaterial[Meldebestand],MATCH(B576,tblMaterial[SAP],0)),"?"))</f>
        <v/>
      </c>
      <c r="F576">
        <f>IF(OR(B576="",NOT(ISNUMBER(D576))),"",IF(D576&lt;E576,"JA",""))</f>
        <v/>
      </c>
    </row>
    <row r="577">
      <c r="A577">
        <f>IFERROR(INDEX(tblStellplatz[Stellplatz],ROW()-1),"")</f>
        <v/>
      </c>
      <c r="B577">
        <f>IFERROR(INDEX(tblStellplatz[SAP],ROW()-1),"")</f>
        <v/>
      </c>
      <c r="C577">
        <f>IF(B577="","",IFERROR(INDEX(tblMaterial[Bezeichnung],MATCH(B577,tblMaterial[SAP],0)),"?"))</f>
        <v/>
      </c>
      <c r="D577">
        <f>IF(B577="","",IFERROR(INDEX(tblMaterial[Lagerstand],MATCH(B577,tblMaterial[SAP],0)),"?"))</f>
        <v/>
      </c>
      <c r="E577">
        <f>IF(B577="","",IFERROR(INDEX(tblMaterial[Meldebestand],MATCH(B577,tblMaterial[SAP],0)),"?"))</f>
        <v/>
      </c>
      <c r="F577">
        <f>IF(OR(B577="",NOT(ISNUMBER(D577))),"",IF(D577&lt;E577,"JA",""))</f>
        <v/>
      </c>
    </row>
    <row r="578">
      <c r="A578">
        <f>IFERROR(INDEX(tblStellplatz[Stellplatz],ROW()-1),"")</f>
        <v/>
      </c>
      <c r="B578">
        <f>IFERROR(INDEX(tblStellplatz[SAP],ROW()-1),"")</f>
        <v/>
      </c>
      <c r="C578">
        <f>IF(B578="","",IFERROR(INDEX(tblMaterial[Bezeichnung],MATCH(B578,tblMaterial[SAP],0)),"?"))</f>
        <v/>
      </c>
      <c r="D578">
        <f>IF(B578="","",IFERROR(INDEX(tblMaterial[Lagerstand],MATCH(B578,tblMaterial[SAP],0)),"?"))</f>
        <v/>
      </c>
      <c r="E578">
        <f>IF(B578="","",IFERROR(INDEX(tblMaterial[Meldebestand],MATCH(B578,tblMaterial[SAP],0)),"?"))</f>
        <v/>
      </c>
      <c r="F578">
        <f>IF(OR(B578="",NOT(ISNUMBER(D578))),"",IF(D578&lt;E578,"JA",""))</f>
        <v/>
      </c>
    </row>
    <row r="579">
      <c r="A579">
        <f>IFERROR(INDEX(tblStellplatz[Stellplatz],ROW()-1),"")</f>
        <v/>
      </c>
      <c r="B579">
        <f>IFERROR(INDEX(tblStellplatz[SAP],ROW()-1),"")</f>
        <v/>
      </c>
      <c r="C579">
        <f>IF(B579="","",IFERROR(INDEX(tblMaterial[Bezeichnung],MATCH(B579,tblMaterial[SAP],0)),"?"))</f>
        <v/>
      </c>
      <c r="D579">
        <f>IF(B579="","",IFERROR(INDEX(tblMaterial[Lagerstand],MATCH(B579,tblMaterial[SAP],0)),"?"))</f>
        <v/>
      </c>
      <c r="E579">
        <f>IF(B579="","",IFERROR(INDEX(tblMaterial[Meldebestand],MATCH(B579,tblMaterial[SAP],0)),"?"))</f>
        <v/>
      </c>
      <c r="F579">
        <f>IF(OR(B579="",NOT(ISNUMBER(D579))),"",IF(D579&lt;E579,"JA",""))</f>
        <v/>
      </c>
    </row>
    <row r="580">
      <c r="A580">
        <f>IFERROR(INDEX(tblStellplatz[Stellplatz],ROW()-1),"")</f>
        <v/>
      </c>
      <c r="B580">
        <f>IFERROR(INDEX(tblStellplatz[SAP],ROW()-1),"")</f>
        <v/>
      </c>
      <c r="C580">
        <f>IF(B580="","",IFERROR(INDEX(tblMaterial[Bezeichnung],MATCH(B580,tblMaterial[SAP],0)),"?"))</f>
        <v/>
      </c>
      <c r="D580">
        <f>IF(B580="","",IFERROR(INDEX(tblMaterial[Lagerstand],MATCH(B580,tblMaterial[SAP],0)),"?"))</f>
        <v/>
      </c>
      <c r="E580">
        <f>IF(B580="","",IFERROR(INDEX(tblMaterial[Meldebestand],MATCH(B580,tblMaterial[SAP],0)),"?"))</f>
        <v/>
      </c>
      <c r="F580">
        <f>IF(OR(B580="",NOT(ISNUMBER(D580))),"",IF(D580&lt;E580,"JA",""))</f>
        <v/>
      </c>
    </row>
    <row r="581">
      <c r="A581">
        <f>IFERROR(INDEX(tblStellplatz[Stellplatz],ROW()-1),"")</f>
        <v/>
      </c>
      <c r="B581">
        <f>IFERROR(INDEX(tblStellplatz[SAP],ROW()-1),"")</f>
        <v/>
      </c>
      <c r="C581">
        <f>IF(B581="","",IFERROR(INDEX(tblMaterial[Bezeichnung],MATCH(B581,tblMaterial[SAP],0)),"?"))</f>
        <v/>
      </c>
      <c r="D581">
        <f>IF(B581="","",IFERROR(INDEX(tblMaterial[Lagerstand],MATCH(B581,tblMaterial[SAP],0)),"?"))</f>
        <v/>
      </c>
      <c r="E581">
        <f>IF(B581="","",IFERROR(INDEX(tblMaterial[Meldebestand],MATCH(B581,tblMaterial[SAP],0)),"?"))</f>
        <v/>
      </c>
      <c r="F581">
        <f>IF(OR(B581="",NOT(ISNUMBER(D581))),"",IF(D581&lt;E581,"JA",""))</f>
        <v/>
      </c>
    </row>
    <row r="582">
      <c r="A582">
        <f>IFERROR(INDEX(tblStellplatz[Stellplatz],ROW()-1),"")</f>
        <v/>
      </c>
      <c r="B582">
        <f>IFERROR(INDEX(tblStellplatz[SAP],ROW()-1),"")</f>
        <v/>
      </c>
      <c r="C582">
        <f>IF(B582="","",IFERROR(INDEX(tblMaterial[Bezeichnung],MATCH(B582,tblMaterial[SAP],0)),"?"))</f>
        <v/>
      </c>
      <c r="D582">
        <f>IF(B582="","",IFERROR(INDEX(tblMaterial[Lagerstand],MATCH(B582,tblMaterial[SAP],0)),"?"))</f>
        <v/>
      </c>
      <c r="E582">
        <f>IF(B582="","",IFERROR(INDEX(tblMaterial[Meldebestand],MATCH(B582,tblMaterial[SAP],0)),"?"))</f>
        <v/>
      </c>
      <c r="F582">
        <f>IF(OR(B582="",NOT(ISNUMBER(D582))),"",IF(D582&lt;E582,"JA",""))</f>
        <v/>
      </c>
    </row>
    <row r="583">
      <c r="A583">
        <f>IFERROR(INDEX(tblStellplatz[Stellplatz],ROW()-1),"")</f>
        <v/>
      </c>
      <c r="B583">
        <f>IFERROR(INDEX(tblStellplatz[SAP],ROW()-1),"")</f>
        <v/>
      </c>
      <c r="C583">
        <f>IF(B583="","",IFERROR(INDEX(tblMaterial[Bezeichnung],MATCH(B583,tblMaterial[SAP],0)),"?"))</f>
        <v/>
      </c>
      <c r="D583">
        <f>IF(B583="","",IFERROR(INDEX(tblMaterial[Lagerstand],MATCH(B583,tblMaterial[SAP],0)),"?"))</f>
        <v/>
      </c>
      <c r="E583">
        <f>IF(B583="","",IFERROR(INDEX(tblMaterial[Meldebestand],MATCH(B583,tblMaterial[SAP],0)),"?"))</f>
        <v/>
      </c>
      <c r="F583">
        <f>IF(OR(B583="",NOT(ISNUMBER(D583))),"",IF(D583&lt;E583,"JA",""))</f>
        <v/>
      </c>
    </row>
    <row r="584">
      <c r="A584">
        <f>IFERROR(INDEX(tblStellplatz[Stellplatz],ROW()-1),"")</f>
        <v/>
      </c>
      <c r="B584">
        <f>IFERROR(INDEX(tblStellplatz[SAP],ROW()-1),"")</f>
        <v/>
      </c>
      <c r="C584">
        <f>IF(B584="","",IFERROR(INDEX(tblMaterial[Bezeichnung],MATCH(B584,tblMaterial[SAP],0)),"?"))</f>
        <v/>
      </c>
      <c r="D584">
        <f>IF(B584="","",IFERROR(INDEX(tblMaterial[Lagerstand],MATCH(B584,tblMaterial[SAP],0)),"?"))</f>
        <v/>
      </c>
      <c r="E584">
        <f>IF(B584="","",IFERROR(INDEX(tblMaterial[Meldebestand],MATCH(B584,tblMaterial[SAP],0)),"?"))</f>
        <v/>
      </c>
      <c r="F584">
        <f>IF(OR(B584="",NOT(ISNUMBER(D584))),"",IF(D584&lt;E584,"JA",""))</f>
        <v/>
      </c>
    </row>
    <row r="585">
      <c r="A585">
        <f>IFERROR(INDEX(tblStellplatz[Stellplatz],ROW()-1),"")</f>
        <v/>
      </c>
      <c r="B585">
        <f>IFERROR(INDEX(tblStellplatz[SAP],ROW()-1),"")</f>
        <v/>
      </c>
      <c r="C585">
        <f>IF(B585="","",IFERROR(INDEX(tblMaterial[Bezeichnung],MATCH(B585,tblMaterial[SAP],0)),"?"))</f>
        <v/>
      </c>
      <c r="D585">
        <f>IF(B585="","",IFERROR(INDEX(tblMaterial[Lagerstand],MATCH(B585,tblMaterial[SAP],0)),"?"))</f>
        <v/>
      </c>
      <c r="E585">
        <f>IF(B585="","",IFERROR(INDEX(tblMaterial[Meldebestand],MATCH(B585,tblMaterial[SAP],0)),"?"))</f>
        <v/>
      </c>
      <c r="F585">
        <f>IF(OR(B585="",NOT(ISNUMBER(D585))),"",IF(D585&lt;E585,"JA",""))</f>
        <v/>
      </c>
    </row>
    <row r="586">
      <c r="A586">
        <f>IFERROR(INDEX(tblStellplatz[Stellplatz],ROW()-1),"")</f>
        <v/>
      </c>
      <c r="B586">
        <f>IFERROR(INDEX(tblStellplatz[SAP],ROW()-1),"")</f>
        <v/>
      </c>
      <c r="C586">
        <f>IF(B586="","",IFERROR(INDEX(tblMaterial[Bezeichnung],MATCH(B586,tblMaterial[SAP],0)),"?"))</f>
        <v/>
      </c>
      <c r="D586">
        <f>IF(B586="","",IFERROR(INDEX(tblMaterial[Lagerstand],MATCH(B586,tblMaterial[SAP],0)),"?"))</f>
        <v/>
      </c>
      <c r="E586">
        <f>IF(B586="","",IFERROR(INDEX(tblMaterial[Meldebestand],MATCH(B586,tblMaterial[SAP],0)),"?"))</f>
        <v/>
      </c>
      <c r="F586">
        <f>IF(OR(B586="",NOT(ISNUMBER(D586))),"",IF(D586&lt;E586,"JA",""))</f>
        <v/>
      </c>
    </row>
    <row r="587">
      <c r="A587">
        <f>IFERROR(INDEX(tblStellplatz[Stellplatz],ROW()-1),"")</f>
        <v/>
      </c>
      <c r="B587">
        <f>IFERROR(INDEX(tblStellplatz[SAP],ROW()-1),"")</f>
        <v/>
      </c>
      <c r="C587">
        <f>IF(B587="","",IFERROR(INDEX(tblMaterial[Bezeichnung],MATCH(B587,tblMaterial[SAP],0)),"?"))</f>
        <v/>
      </c>
      <c r="D587">
        <f>IF(B587="","",IFERROR(INDEX(tblMaterial[Lagerstand],MATCH(B587,tblMaterial[SAP],0)),"?"))</f>
        <v/>
      </c>
      <c r="E587">
        <f>IF(B587="","",IFERROR(INDEX(tblMaterial[Meldebestand],MATCH(B587,tblMaterial[SAP],0)),"?"))</f>
        <v/>
      </c>
      <c r="F587">
        <f>IF(OR(B587="",NOT(ISNUMBER(D587))),"",IF(D587&lt;E587,"JA",""))</f>
        <v/>
      </c>
    </row>
    <row r="588">
      <c r="A588">
        <f>IFERROR(INDEX(tblStellplatz[Stellplatz],ROW()-1),"")</f>
        <v/>
      </c>
      <c r="B588">
        <f>IFERROR(INDEX(tblStellplatz[SAP],ROW()-1),"")</f>
        <v/>
      </c>
      <c r="C588">
        <f>IF(B588="","",IFERROR(INDEX(tblMaterial[Bezeichnung],MATCH(B588,tblMaterial[SAP],0)),"?"))</f>
        <v/>
      </c>
      <c r="D588">
        <f>IF(B588="","",IFERROR(INDEX(tblMaterial[Lagerstand],MATCH(B588,tblMaterial[SAP],0)),"?"))</f>
        <v/>
      </c>
      <c r="E588">
        <f>IF(B588="","",IFERROR(INDEX(tblMaterial[Meldebestand],MATCH(B588,tblMaterial[SAP],0)),"?"))</f>
        <v/>
      </c>
      <c r="F588">
        <f>IF(OR(B588="",NOT(ISNUMBER(D588))),"",IF(D588&lt;E588,"JA",""))</f>
        <v/>
      </c>
    </row>
    <row r="589">
      <c r="A589">
        <f>IFERROR(INDEX(tblStellplatz[Stellplatz],ROW()-1),"")</f>
        <v/>
      </c>
      <c r="B589">
        <f>IFERROR(INDEX(tblStellplatz[SAP],ROW()-1),"")</f>
        <v/>
      </c>
      <c r="C589">
        <f>IF(B589="","",IFERROR(INDEX(tblMaterial[Bezeichnung],MATCH(B589,tblMaterial[SAP],0)),"?"))</f>
        <v/>
      </c>
      <c r="D589">
        <f>IF(B589="","",IFERROR(INDEX(tblMaterial[Lagerstand],MATCH(B589,tblMaterial[SAP],0)),"?"))</f>
        <v/>
      </c>
      <c r="E589">
        <f>IF(B589="","",IFERROR(INDEX(tblMaterial[Meldebestand],MATCH(B589,tblMaterial[SAP],0)),"?"))</f>
        <v/>
      </c>
      <c r="F589">
        <f>IF(OR(B589="",NOT(ISNUMBER(D589))),"",IF(D589&lt;E589,"JA",""))</f>
        <v/>
      </c>
    </row>
    <row r="590">
      <c r="A590">
        <f>IFERROR(INDEX(tblStellplatz[Stellplatz],ROW()-1),"")</f>
        <v/>
      </c>
      <c r="B590">
        <f>IFERROR(INDEX(tblStellplatz[SAP],ROW()-1),"")</f>
        <v/>
      </c>
      <c r="C590">
        <f>IF(B590="","",IFERROR(INDEX(tblMaterial[Bezeichnung],MATCH(B590,tblMaterial[SAP],0)),"?"))</f>
        <v/>
      </c>
      <c r="D590">
        <f>IF(B590="","",IFERROR(INDEX(tblMaterial[Lagerstand],MATCH(B590,tblMaterial[SAP],0)),"?"))</f>
        <v/>
      </c>
      <c r="E590">
        <f>IF(B590="","",IFERROR(INDEX(tblMaterial[Meldebestand],MATCH(B590,tblMaterial[SAP],0)),"?"))</f>
        <v/>
      </c>
      <c r="F590">
        <f>IF(OR(B590="",NOT(ISNUMBER(D590))),"",IF(D590&lt;E590,"JA",""))</f>
        <v/>
      </c>
    </row>
    <row r="591">
      <c r="A591">
        <f>IFERROR(INDEX(tblStellplatz[Stellplatz],ROW()-1),"")</f>
        <v/>
      </c>
      <c r="B591">
        <f>IFERROR(INDEX(tblStellplatz[SAP],ROW()-1),"")</f>
        <v/>
      </c>
      <c r="C591">
        <f>IF(B591="","",IFERROR(INDEX(tblMaterial[Bezeichnung],MATCH(B591,tblMaterial[SAP],0)),"?"))</f>
        <v/>
      </c>
      <c r="D591">
        <f>IF(B591="","",IFERROR(INDEX(tblMaterial[Lagerstand],MATCH(B591,tblMaterial[SAP],0)),"?"))</f>
        <v/>
      </c>
      <c r="E591">
        <f>IF(B591="","",IFERROR(INDEX(tblMaterial[Meldebestand],MATCH(B591,tblMaterial[SAP],0)),"?"))</f>
        <v/>
      </c>
      <c r="F591">
        <f>IF(OR(B591="",NOT(ISNUMBER(D591))),"",IF(D591&lt;E591,"JA",""))</f>
        <v/>
      </c>
    </row>
    <row r="592">
      <c r="A592">
        <f>IFERROR(INDEX(tblStellplatz[Stellplatz],ROW()-1),"")</f>
        <v/>
      </c>
      <c r="B592">
        <f>IFERROR(INDEX(tblStellplatz[SAP],ROW()-1),"")</f>
        <v/>
      </c>
      <c r="C592">
        <f>IF(B592="","",IFERROR(INDEX(tblMaterial[Bezeichnung],MATCH(B592,tblMaterial[SAP],0)),"?"))</f>
        <v/>
      </c>
      <c r="D592">
        <f>IF(B592="","",IFERROR(INDEX(tblMaterial[Lagerstand],MATCH(B592,tblMaterial[SAP],0)),"?"))</f>
        <v/>
      </c>
      <c r="E592">
        <f>IF(B592="","",IFERROR(INDEX(tblMaterial[Meldebestand],MATCH(B592,tblMaterial[SAP],0)),"?"))</f>
        <v/>
      </c>
      <c r="F592">
        <f>IF(OR(B592="",NOT(ISNUMBER(D592))),"",IF(D592&lt;E592,"JA",""))</f>
        <v/>
      </c>
    </row>
    <row r="593">
      <c r="A593">
        <f>IFERROR(INDEX(tblStellplatz[Stellplatz],ROW()-1),"")</f>
        <v/>
      </c>
      <c r="B593">
        <f>IFERROR(INDEX(tblStellplatz[SAP],ROW()-1),"")</f>
        <v/>
      </c>
      <c r="C593">
        <f>IF(B593="","",IFERROR(INDEX(tblMaterial[Bezeichnung],MATCH(B593,tblMaterial[SAP],0)),"?"))</f>
        <v/>
      </c>
      <c r="D593">
        <f>IF(B593="","",IFERROR(INDEX(tblMaterial[Lagerstand],MATCH(B593,tblMaterial[SAP],0)),"?"))</f>
        <v/>
      </c>
      <c r="E593">
        <f>IF(B593="","",IFERROR(INDEX(tblMaterial[Meldebestand],MATCH(B593,tblMaterial[SAP],0)),"?"))</f>
        <v/>
      </c>
      <c r="F593">
        <f>IF(OR(B593="",NOT(ISNUMBER(D593))),"",IF(D593&lt;E593,"JA",""))</f>
        <v/>
      </c>
    </row>
    <row r="594">
      <c r="A594">
        <f>IFERROR(INDEX(tblStellplatz[Stellplatz],ROW()-1),"")</f>
        <v/>
      </c>
      <c r="B594">
        <f>IFERROR(INDEX(tblStellplatz[SAP],ROW()-1),"")</f>
        <v/>
      </c>
      <c r="C594">
        <f>IF(B594="","",IFERROR(INDEX(tblMaterial[Bezeichnung],MATCH(B594,tblMaterial[SAP],0)),"?"))</f>
        <v/>
      </c>
      <c r="D594">
        <f>IF(B594="","",IFERROR(INDEX(tblMaterial[Lagerstand],MATCH(B594,tblMaterial[SAP],0)),"?"))</f>
        <v/>
      </c>
      <c r="E594">
        <f>IF(B594="","",IFERROR(INDEX(tblMaterial[Meldebestand],MATCH(B594,tblMaterial[SAP],0)),"?"))</f>
        <v/>
      </c>
      <c r="F594">
        <f>IF(OR(B594="",NOT(ISNUMBER(D594))),"",IF(D594&lt;E594,"JA",""))</f>
        <v/>
      </c>
    </row>
    <row r="595">
      <c r="A595">
        <f>IFERROR(INDEX(tblStellplatz[Stellplatz],ROW()-1),"")</f>
        <v/>
      </c>
      <c r="B595">
        <f>IFERROR(INDEX(tblStellplatz[SAP],ROW()-1),"")</f>
        <v/>
      </c>
      <c r="C595">
        <f>IF(B595="","",IFERROR(INDEX(tblMaterial[Bezeichnung],MATCH(B595,tblMaterial[SAP],0)),"?"))</f>
        <v/>
      </c>
      <c r="D595">
        <f>IF(B595="","",IFERROR(INDEX(tblMaterial[Lagerstand],MATCH(B595,tblMaterial[SAP],0)),"?"))</f>
        <v/>
      </c>
      <c r="E595">
        <f>IF(B595="","",IFERROR(INDEX(tblMaterial[Meldebestand],MATCH(B595,tblMaterial[SAP],0)),"?"))</f>
        <v/>
      </c>
      <c r="F595">
        <f>IF(OR(B595="",NOT(ISNUMBER(D595))),"",IF(D595&lt;E595,"JA",""))</f>
        <v/>
      </c>
    </row>
    <row r="596">
      <c r="A596">
        <f>IFERROR(INDEX(tblStellplatz[Stellplatz],ROW()-1),"")</f>
        <v/>
      </c>
      <c r="B596">
        <f>IFERROR(INDEX(tblStellplatz[SAP],ROW()-1),"")</f>
        <v/>
      </c>
      <c r="C596">
        <f>IF(B596="","",IFERROR(INDEX(tblMaterial[Bezeichnung],MATCH(B596,tblMaterial[SAP],0)),"?"))</f>
        <v/>
      </c>
      <c r="D596">
        <f>IF(B596="","",IFERROR(INDEX(tblMaterial[Lagerstand],MATCH(B596,tblMaterial[SAP],0)),"?"))</f>
        <v/>
      </c>
      <c r="E596">
        <f>IF(B596="","",IFERROR(INDEX(tblMaterial[Meldebestand],MATCH(B596,tblMaterial[SAP],0)),"?"))</f>
        <v/>
      </c>
      <c r="F596">
        <f>IF(OR(B596="",NOT(ISNUMBER(D596))),"",IF(D596&lt;E596,"JA",""))</f>
        <v/>
      </c>
    </row>
    <row r="597">
      <c r="A597">
        <f>IFERROR(INDEX(tblStellplatz[Stellplatz],ROW()-1),"")</f>
        <v/>
      </c>
      <c r="B597">
        <f>IFERROR(INDEX(tblStellplatz[SAP],ROW()-1),"")</f>
        <v/>
      </c>
      <c r="C597">
        <f>IF(B597="","",IFERROR(INDEX(tblMaterial[Bezeichnung],MATCH(B597,tblMaterial[SAP],0)),"?"))</f>
        <v/>
      </c>
      <c r="D597">
        <f>IF(B597="","",IFERROR(INDEX(tblMaterial[Lagerstand],MATCH(B597,tblMaterial[SAP],0)),"?"))</f>
        <v/>
      </c>
      <c r="E597">
        <f>IF(B597="","",IFERROR(INDEX(tblMaterial[Meldebestand],MATCH(B597,tblMaterial[SAP],0)),"?"))</f>
        <v/>
      </c>
      <c r="F597">
        <f>IF(OR(B597="",NOT(ISNUMBER(D597))),"",IF(D597&lt;E597,"JA",""))</f>
        <v/>
      </c>
    </row>
    <row r="598">
      <c r="A598">
        <f>IFERROR(INDEX(tblStellplatz[Stellplatz],ROW()-1),"")</f>
        <v/>
      </c>
      <c r="B598">
        <f>IFERROR(INDEX(tblStellplatz[SAP],ROW()-1),"")</f>
        <v/>
      </c>
      <c r="C598">
        <f>IF(B598="","",IFERROR(INDEX(tblMaterial[Bezeichnung],MATCH(B598,tblMaterial[SAP],0)),"?"))</f>
        <v/>
      </c>
      <c r="D598">
        <f>IF(B598="","",IFERROR(INDEX(tblMaterial[Lagerstand],MATCH(B598,tblMaterial[SAP],0)),"?"))</f>
        <v/>
      </c>
      <c r="E598">
        <f>IF(B598="","",IFERROR(INDEX(tblMaterial[Meldebestand],MATCH(B598,tblMaterial[SAP],0)),"?"))</f>
        <v/>
      </c>
      <c r="F598">
        <f>IF(OR(B598="",NOT(ISNUMBER(D598))),"",IF(D598&lt;E598,"JA",""))</f>
        <v/>
      </c>
    </row>
    <row r="599">
      <c r="A599">
        <f>IFERROR(INDEX(tblStellplatz[Stellplatz],ROW()-1),"")</f>
        <v/>
      </c>
      <c r="B599">
        <f>IFERROR(INDEX(tblStellplatz[SAP],ROW()-1),"")</f>
        <v/>
      </c>
      <c r="C599">
        <f>IF(B599="","",IFERROR(INDEX(tblMaterial[Bezeichnung],MATCH(B599,tblMaterial[SAP],0)),"?"))</f>
        <v/>
      </c>
      <c r="D599">
        <f>IF(B599="","",IFERROR(INDEX(tblMaterial[Lagerstand],MATCH(B599,tblMaterial[SAP],0)),"?"))</f>
        <v/>
      </c>
      <c r="E599">
        <f>IF(B599="","",IFERROR(INDEX(tblMaterial[Meldebestand],MATCH(B599,tblMaterial[SAP],0)),"?"))</f>
        <v/>
      </c>
      <c r="F599">
        <f>IF(OR(B599="",NOT(ISNUMBER(D599))),"",IF(D599&lt;E599,"JA",""))</f>
        <v/>
      </c>
    </row>
    <row r="600">
      <c r="A600">
        <f>IFERROR(INDEX(tblStellplatz[Stellplatz],ROW()-1),"")</f>
        <v/>
      </c>
      <c r="B600">
        <f>IFERROR(INDEX(tblStellplatz[SAP],ROW()-1),"")</f>
        <v/>
      </c>
      <c r="C600">
        <f>IF(B600="","",IFERROR(INDEX(tblMaterial[Bezeichnung],MATCH(B600,tblMaterial[SAP],0)),"?"))</f>
        <v/>
      </c>
      <c r="D600">
        <f>IF(B600="","",IFERROR(INDEX(tblMaterial[Lagerstand],MATCH(B600,tblMaterial[SAP],0)),"?"))</f>
        <v/>
      </c>
      <c r="E600">
        <f>IF(B600="","",IFERROR(INDEX(tblMaterial[Meldebestand],MATCH(B600,tblMaterial[SAP],0)),"?"))</f>
        <v/>
      </c>
      <c r="F600">
        <f>IF(OR(B600="",NOT(ISNUMBER(D600))),"",IF(D600&lt;E600,"JA",""))</f>
        <v/>
      </c>
    </row>
    <row r="601">
      <c r="A601">
        <f>IFERROR(INDEX(tblStellplatz[Stellplatz],ROW()-1),"")</f>
        <v/>
      </c>
      <c r="B601">
        <f>IFERROR(INDEX(tblStellplatz[SAP],ROW()-1),"")</f>
        <v/>
      </c>
      <c r="C601">
        <f>IF(B601="","",IFERROR(INDEX(tblMaterial[Bezeichnung],MATCH(B601,tblMaterial[SAP],0)),"?"))</f>
        <v/>
      </c>
      <c r="D601">
        <f>IF(B601="","",IFERROR(INDEX(tblMaterial[Lagerstand],MATCH(B601,tblMaterial[SAP],0)),"?"))</f>
        <v/>
      </c>
      <c r="E601">
        <f>IF(B601="","",IFERROR(INDEX(tblMaterial[Meldebestand],MATCH(B601,tblMaterial[SAP],0)),"?"))</f>
        <v/>
      </c>
      <c r="F601">
        <f>IF(OR(B601="",NOT(ISNUMBER(D601))),"",IF(D601&lt;E601,"JA",""))</f>
        <v/>
      </c>
    </row>
    <row r="602">
      <c r="A602">
        <f>IFERROR(INDEX(tblStellplatz[Stellplatz],ROW()-1),"")</f>
        <v/>
      </c>
      <c r="B602">
        <f>IFERROR(INDEX(tblStellplatz[SAP],ROW()-1),"")</f>
        <v/>
      </c>
      <c r="C602">
        <f>IF(B602="","",IFERROR(INDEX(tblMaterial[Bezeichnung],MATCH(B602,tblMaterial[SAP],0)),"?"))</f>
        <v/>
      </c>
      <c r="D602">
        <f>IF(B602="","",IFERROR(INDEX(tblMaterial[Lagerstand],MATCH(B602,tblMaterial[SAP],0)),"?"))</f>
        <v/>
      </c>
      <c r="E602">
        <f>IF(B602="","",IFERROR(INDEX(tblMaterial[Meldebestand],MATCH(B602,tblMaterial[SAP],0)),"?"))</f>
        <v/>
      </c>
      <c r="F602">
        <f>IF(OR(B602="",NOT(ISNUMBER(D602))),"",IF(D602&lt;E602,"JA",""))</f>
        <v/>
      </c>
    </row>
    <row r="603">
      <c r="A603">
        <f>IFERROR(INDEX(tblStellplatz[Stellplatz],ROW()-1),"")</f>
        <v/>
      </c>
      <c r="B603">
        <f>IFERROR(INDEX(tblStellplatz[SAP],ROW()-1),"")</f>
        <v/>
      </c>
      <c r="C603">
        <f>IF(B603="","",IFERROR(INDEX(tblMaterial[Bezeichnung],MATCH(B603,tblMaterial[SAP],0)),"?"))</f>
        <v/>
      </c>
      <c r="D603">
        <f>IF(B603="","",IFERROR(INDEX(tblMaterial[Lagerstand],MATCH(B603,tblMaterial[SAP],0)),"?"))</f>
        <v/>
      </c>
      <c r="E603">
        <f>IF(B603="","",IFERROR(INDEX(tblMaterial[Meldebestand],MATCH(B603,tblMaterial[SAP],0)),"?"))</f>
        <v/>
      </c>
      <c r="F603">
        <f>IF(OR(B603="",NOT(ISNUMBER(D603))),"",IF(D603&lt;E603,"JA",""))</f>
        <v/>
      </c>
    </row>
    <row r="604">
      <c r="A604">
        <f>IFERROR(INDEX(tblStellplatz[Stellplatz],ROW()-1),"")</f>
        <v/>
      </c>
      <c r="B604">
        <f>IFERROR(INDEX(tblStellplatz[SAP],ROW()-1),"")</f>
        <v/>
      </c>
      <c r="C604">
        <f>IF(B604="","",IFERROR(INDEX(tblMaterial[Bezeichnung],MATCH(B604,tblMaterial[SAP],0)),"?"))</f>
        <v/>
      </c>
      <c r="D604">
        <f>IF(B604="","",IFERROR(INDEX(tblMaterial[Lagerstand],MATCH(B604,tblMaterial[SAP],0)),"?"))</f>
        <v/>
      </c>
      <c r="E604">
        <f>IF(B604="","",IFERROR(INDEX(tblMaterial[Meldebestand],MATCH(B604,tblMaterial[SAP],0)),"?"))</f>
        <v/>
      </c>
      <c r="F604">
        <f>IF(OR(B604="",NOT(ISNUMBER(D604))),"",IF(D604&lt;E604,"JA",""))</f>
        <v/>
      </c>
    </row>
    <row r="605">
      <c r="A605">
        <f>IFERROR(INDEX(tblStellplatz[Stellplatz],ROW()-1),"")</f>
        <v/>
      </c>
      <c r="B605">
        <f>IFERROR(INDEX(tblStellplatz[SAP],ROW()-1),"")</f>
        <v/>
      </c>
      <c r="C605">
        <f>IF(B605="","",IFERROR(INDEX(tblMaterial[Bezeichnung],MATCH(B605,tblMaterial[SAP],0)),"?"))</f>
        <v/>
      </c>
      <c r="D605">
        <f>IF(B605="","",IFERROR(INDEX(tblMaterial[Lagerstand],MATCH(B605,tblMaterial[SAP],0)),"?"))</f>
        <v/>
      </c>
      <c r="E605">
        <f>IF(B605="","",IFERROR(INDEX(tblMaterial[Meldebestand],MATCH(B605,tblMaterial[SAP],0)),"?"))</f>
        <v/>
      </c>
      <c r="F605">
        <f>IF(OR(B605="",NOT(ISNUMBER(D605))),"",IF(D605&lt;E605,"JA",""))</f>
        <v/>
      </c>
    </row>
    <row r="606">
      <c r="A606">
        <f>IFERROR(INDEX(tblStellplatz[Stellplatz],ROW()-1),"")</f>
        <v/>
      </c>
      <c r="B606">
        <f>IFERROR(INDEX(tblStellplatz[SAP],ROW()-1),"")</f>
        <v/>
      </c>
      <c r="C606">
        <f>IF(B606="","",IFERROR(INDEX(tblMaterial[Bezeichnung],MATCH(B606,tblMaterial[SAP],0)),"?"))</f>
        <v/>
      </c>
      <c r="D606">
        <f>IF(B606="","",IFERROR(INDEX(tblMaterial[Lagerstand],MATCH(B606,tblMaterial[SAP],0)),"?"))</f>
        <v/>
      </c>
      <c r="E606">
        <f>IF(B606="","",IFERROR(INDEX(tblMaterial[Meldebestand],MATCH(B606,tblMaterial[SAP],0)),"?"))</f>
        <v/>
      </c>
      <c r="F606">
        <f>IF(OR(B606="",NOT(ISNUMBER(D606))),"",IF(D606&lt;E606,"JA",""))</f>
        <v/>
      </c>
    </row>
    <row r="607">
      <c r="A607">
        <f>IFERROR(INDEX(tblStellplatz[Stellplatz],ROW()-1),"")</f>
        <v/>
      </c>
      <c r="B607">
        <f>IFERROR(INDEX(tblStellplatz[SAP],ROW()-1),"")</f>
        <v/>
      </c>
      <c r="C607">
        <f>IF(B607="","",IFERROR(INDEX(tblMaterial[Bezeichnung],MATCH(B607,tblMaterial[SAP],0)),"?"))</f>
        <v/>
      </c>
      <c r="D607">
        <f>IF(B607="","",IFERROR(INDEX(tblMaterial[Lagerstand],MATCH(B607,tblMaterial[SAP],0)),"?"))</f>
        <v/>
      </c>
      <c r="E607">
        <f>IF(B607="","",IFERROR(INDEX(tblMaterial[Meldebestand],MATCH(B607,tblMaterial[SAP],0)),"?"))</f>
        <v/>
      </c>
      <c r="F607">
        <f>IF(OR(B607="",NOT(ISNUMBER(D607))),"",IF(D607&lt;E607,"JA",""))</f>
        <v/>
      </c>
    </row>
    <row r="608">
      <c r="A608">
        <f>IFERROR(INDEX(tblStellplatz[Stellplatz],ROW()-1),"")</f>
        <v/>
      </c>
      <c r="B608">
        <f>IFERROR(INDEX(tblStellplatz[SAP],ROW()-1),"")</f>
        <v/>
      </c>
      <c r="C608">
        <f>IF(B608="","",IFERROR(INDEX(tblMaterial[Bezeichnung],MATCH(B608,tblMaterial[SAP],0)),"?"))</f>
        <v/>
      </c>
      <c r="D608">
        <f>IF(B608="","",IFERROR(INDEX(tblMaterial[Lagerstand],MATCH(B608,tblMaterial[SAP],0)),"?"))</f>
        <v/>
      </c>
      <c r="E608">
        <f>IF(B608="","",IFERROR(INDEX(tblMaterial[Meldebestand],MATCH(B608,tblMaterial[SAP],0)),"?"))</f>
        <v/>
      </c>
      <c r="F608">
        <f>IF(OR(B608="",NOT(ISNUMBER(D608))),"",IF(D608&lt;E608,"JA",""))</f>
        <v/>
      </c>
    </row>
    <row r="609">
      <c r="A609">
        <f>IFERROR(INDEX(tblStellplatz[Stellplatz],ROW()-1),"")</f>
        <v/>
      </c>
      <c r="B609">
        <f>IFERROR(INDEX(tblStellplatz[SAP],ROW()-1),"")</f>
        <v/>
      </c>
      <c r="C609">
        <f>IF(B609="","",IFERROR(INDEX(tblMaterial[Bezeichnung],MATCH(B609,tblMaterial[SAP],0)),"?"))</f>
        <v/>
      </c>
      <c r="D609">
        <f>IF(B609="","",IFERROR(INDEX(tblMaterial[Lagerstand],MATCH(B609,tblMaterial[SAP],0)),"?"))</f>
        <v/>
      </c>
      <c r="E609">
        <f>IF(B609="","",IFERROR(INDEX(tblMaterial[Meldebestand],MATCH(B609,tblMaterial[SAP],0)),"?"))</f>
        <v/>
      </c>
      <c r="F609">
        <f>IF(OR(B609="",NOT(ISNUMBER(D609))),"",IF(D609&lt;E609,"JA",""))</f>
        <v/>
      </c>
    </row>
    <row r="610">
      <c r="A610">
        <f>IFERROR(INDEX(tblStellplatz[Stellplatz],ROW()-1),"")</f>
        <v/>
      </c>
      <c r="B610">
        <f>IFERROR(INDEX(tblStellplatz[SAP],ROW()-1),"")</f>
        <v/>
      </c>
      <c r="C610">
        <f>IF(B610="","",IFERROR(INDEX(tblMaterial[Bezeichnung],MATCH(B610,tblMaterial[SAP],0)),"?"))</f>
        <v/>
      </c>
      <c r="D610">
        <f>IF(B610="","",IFERROR(INDEX(tblMaterial[Lagerstand],MATCH(B610,tblMaterial[SAP],0)),"?"))</f>
        <v/>
      </c>
      <c r="E610">
        <f>IF(B610="","",IFERROR(INDEX(tblMaterial[Meldebestand],MATCH(B610,tblMaterial[SAP],0)),"?"))</f>
        <v/>
      </c>
      <c r="F610">
        <f>IF(OR(B610="",NOT(ISNUMBER(D610))),"",IF(D610&lt;E610,"JA",""))</f>
        <v/>
      </c>
    </row>
    <row r="611">
      <c r="A611">
        <f>IFERROR(INDEX(tblStellplatz[Stellplatz],ROW()-1),"")</f>
        <v/>
      </c>
      <c r="B611">
        <f>IFERROR(INDEX(tblStellplatz[SAP],ROW()-1),"")</f>
        <v/>
      </c>
      <c r="C611">
        <f>IF(B611="","",IFERROR(INDEX(tblMaterial[Bezeichnung],MATCH(B611,tblMaterial[SAP],0)),"?"))</f>
        <v/>
      </c>
      <c r="D611">
        <f>IF(B611="","",IFERROR(INDEX(tblMaterial[Lagerstand],MATCH(B611,tblMaterial[SAP],0)),"?"))</f>
        <v/>
      </c>
      <c r="E611">
        <f>IF(B611="","",IFERROR(INDEX(tblMaterial[Meldebestand],MATCH(B611,tblMaterial[SAP],0)),"?"))</f>
        <v/>
      </c>
      <c r="F611">
        <f>IF(OR(B611="",NOT(ISNUMBER(D611))),"",IF(D611&lt;E611,"JA",""))</f>
        <v/>
      </c>
    </row>
    <row r="612">
      <c r="A612">
        <f>IFERROR(INDEX(tblStellplatz[Stellplatz],ROW()-1),"")</f>
        <v/>
      </c>
      <c r="B612">
        <f>IFERROR(INDEX(tblStellplatz[SAP],ROW()-1),"")</f>
        <v/>
      </c>
      <c r="C612">
        <f>IF(B612="","",IFERROR(INDEX(tblMaterial[Bezeichnung],MATCH(B612,tblMaterial[SAP],0)),"?"))</f>
        <v/>
      </c>
      <c r="D612">
        <f>IF(B612="","",IFERROR(INDEX(tblMaterial[Lagerstand],MATCH(B612,tblMaterial[SAP],0)),"?"))</f>
        <v/>
      </c>
      <c r="E612">
        <f>IF(B612="","",IFERROR(INDEX(tblMaterial[Meldebestand],MATCH(B612,tblMaterial[SAP],0)),"?"))</f>
        <v/>
      </c>
      <c r="F612">
        <f>IF(OR(B612="",NOT(ISNUMBER(D612))),"",IF(D612&lt;E612,"JA",""))</f>
        <v/>
      </c>
    </row>
    <row r="613">
      <c r="A613">
        <f>IFERROR(INDEX(tblStellplatz[Stellplatz],ROW()-1),"")</f>
        <v/>
      </c>
      <c r="B613">
        <f>IFERROR(INDEX(tblStellplatz[SAP],ROW()-1),"")</f>
        <v/>
      </c>
      <c r="C613">
        <f>IF(B613="","",IFERROR(INDEX(tblMaterial[Bezeichnung],MATCH(B613,tblMaterial[SAP],0)),"?"))</f>
        <v/>
      </c>
      <c r="D613">
        <f>IF(B613="","",IFERROR(INDEX(tblMaterial[Lagerstand],MATCH(B613,tblMaterial[SAP],0)),"?"))</f>
        <v/>
      </c>
      <c r="E613">
        <f>IF(B613="","",IFERROR(INDEX(tblMaterial[Meldebestand],MATCH(B613,tblMaterial[SAP],0)),"?"))</f>
        <v/>
      </c>
      <c r="F613">
        <f>IF(OR(B613="",NOT(ISNUMBER(D613))),"",IF(D613&lt;E613,"JA",""))</f>
        <v/>
      </c>
    </row>
    <row r="614">
      <c r="A614">
        <f>IFERROR(INDEX(tblStellplatz[Stellplatz],ROW()-1),"")</f>
        <v/>
      </c>
      <c r="B614">
        <f>IFERROR(INDEX(tblStellplatz[SAP],ROW()-1),"")</f>
        <v/>
      </c>
      <c r="C614">
        <f>IF(B614="","",IFERROR(INDEX(tblMaterial[Bezeichnung],MATCH(B614,tblMaterial[SAP],0)),"?"))</f>
        <v/>
      </c>
      <c r="D614">
        <f>IF(B614="","",IFERROR(INDEX(tblMaterial[Lagerstand],MATCH(B614,tblMaterial[SAP],0)),"?"))</f>
        <v/>
      </c>
      <c r="E614">
        <f>IF(B614="","",IFERROR(INDEX(tblMaterial[Meldebestand],MATCH(B614,tblMaterial[SAP],0)),"?"))</f>
        <v/>
      </c>
      <c r="F614">
        <f>IF(OR(B614="",NOT(ISNUMBER(D614))),"",IF(D614&lt;E614,"JA",""))</f>
        <v/>
      </c>
    </row>
    <row r="615">
      <c r="A615">
        <f>IFERROR(INDEX(tblStellplatz[Stellplatz],ROW()-1),"")</f>
        <v/>
      </c>
      <c r="B615">
        <f>IFERROR(INDEX(tblStellplatz[SAP],ROW()-1),"")</f>
        <v/>
      </c>
      <c r="C615">
        <f>IF(B615="","",IFERROR(INDEX(tblMaterial[Bezeichnung],MATCH(B615,tblMaterial[SAP],0)),"?"))</f>
        <v/>
      </c>
      <c r="D615">
        <f>IF(B615="","",IFERROR(INDEX(tblMaterial[Lagerstand],MATCH(B615,tblMaterial[SAP],0)),"?"))</f>
        <v/>
      </c>
      <c r="E615">
        <f>IF(B615="","",IFERROR(INDEX(tblMaterial[Meldebestand],MATCH(B615,tblMaterial[SAP],0)),"?"))</f>
        <v/>
      </c>
      <c r="F615">
        <f>IF(OR(B615="",NOT(ISNUMBER(D615))),"",IF(D615&lt;E615,"JA",""))</f>
        <v/>
      </c>
    </row>
    <row r="616">
      <c r="A616">
        <f>IFERROR(INDEX(tblStellplatz[Stellplatz],ROW()-1),"")</f>
        <v/>
      </c>
      <c r="B616">
        <f>IFERROR(INDEX(tblStellplatz[SAP],ROW()-1),"")</f>
        <v/>
      </c>
      <c r="C616">
        <f>IF(B616="","",IFERROR(INDEX(tblMaterial[Bezeichnung],MATCH(B616,tblMaterial[SAP],0)),"?"))</f>
        <v/>
      </c>
      <c r="D616">
        <f>IF(B616="","",IFERROR(INDEX(tblMaterial[Lagerstand],MATCH(B616,tblMaterial[SAP],0)),"?"))</f>
        <v/>
      </c>
      <c r="E616">
        <f>IF(B616="","",IFERROR(INDEX(tblMaterial[Meldebestand],MATCH(B616,tblMaterial[SAP],0)),"?"))</f>
        <v/>
      </c>
      <c r="F616">
        <f>IF(OR(B616="",NOT(ISNUMBER(D616))),"",IF(D616&lt;E616,"JA",""))</f>
        <v/>
      </c>
    </row>
    <row r="617">
      <c r="A617">
        <f>IFERROR(INDEX(tblStellplatz[Stellplatz],ROW()-1),"")</f>
        <v/>
      </c>
      <c r="B617">
        <f>IFERROR(INDEX(tblStellplatz[SAP],ROW()-1),"")</f>
        <v/>
      </c>
      <c r="C617">
        <f>IF(B617="","",IFERROR(INDEX(tblMaterial[Bezeichnung],MATCH(B617,tblMaterial[SAP],0)),"?"))</f>
        <v/>
      </c>
      <c r="D617">
        <f>IF(B617="","",IFERROR(INDEX(tblMaterial[Lagerstand],MATCH(B617,tblMaterial[SAP],0)),"?"))</f>
        <v/>
      </c>
      <c r="E617">
        <f>IF(B617="","",IFERROR(INDEX(tblMaterial[Meldebestand],MATCH(B617,tblMaterial[SAP],0)),"?"))</f>
        <v/>
      </c>
      <c r="F617">
        <f>IF(OR(B617="",NOT(ISNUMBER(D617))),"",IF(D617&lt;E617,"JA",""))</f>
        <v/>
      </c>
    </row>
    <row r="618">
      <c r="A618">
        <f>IFERROR(INDEX(tblStellplatz[Stellplatz],ROW()-1),"")</f>
        <v/>
      </c>
      <c r="B618">
        <f>IFERROR(INDEX(tblStellplatz[SAP],ROW()-1),"")</f>
        <v/>
      </c>
      <c r="C618">
        <f>IF(B618="","",IFERROR(INDEX(tblMaterial[Bezeichnung],MATCH(B618,tblMaterial[SAP],0)),"?"))</f>
        <v/>
      </c>
      <c r="D618">
        <f>IF(B618="","",IFERROR(INDEX(tblMaterial[Lagerstand],MATCH(B618,tblMaterial[SAP],0)),"?"))</f>
        <v/>
      </c>
      <c r="E618">
        <f>IF(B618="","",IFERROR(INDEX(tblMaterial[Meldebestand],MATCH(B618,tblMaterial[SAP],0)),"?"))</f>
        <v/>
      </c>
      <c r="F618">
        <f>IF(OR(B618="",NOT(ISNUMBER(D618))),"",IF(D618&lt;E618,"JA",""))</f>
        <v/>
      </c>
    </row>
    <row r="619">
      <c r="A619">
        <f>IFERROR(INDEX(tblStellplatz[Stellplatz],ROW()-1),"")</f>
        <v/>
      </c>
      <c r="B619">
        <f>IFERROR(INDEX(tblStellplatz[SAP],ROW()-1),"")</f>
        <v/>
      </c>
      <c r="C619">
        <f>IF(B619="","",IFERROR(INDEX(tblMaterial[Bezeichnung],MATCH(B619,tblMaterial[SAP],0)),"?"))</f>
        <v/>
      </c>
      <c r="D619">
        <f>IF(B619="","",IFERROR(INDEX(tblMaterial[Lagerstand],MATCH(B619,tblMaterial[SAP],0)),"?"))</f>
        <v/>
      </c>
      <c r="E619">
        <f>IF(B619="","",IFERROR(INDEX(tblMaterial[Meldebestand],MATCH(B619,tblMaterial[SAP],0)),"?"))</f>
        <v/>
      </c>
      <c r="F619">
        <f>IF(OR(B619="",NOT(ISNUMBER(D619))),"",IF(D619&lt;E619,"JA",""))</f>
        <v/>
      </c>
    </row>
    <row r="620">
      <c r="A620">
        <f>IFERROR(INDEX(tblStellplatz[Stellplatz],ROW()-1),"")</f>
        <v/>
      </c>
      <c r="B620">
        <f>IFERROR(INDEX(tblStellplatz[SAP],ROW()-1),"")</f>
        <v/>
      </c>
      <c r="C620">
        <f>IF(B620="","",IFERROR(INDEX(tblMaterial[Bezeichnung],MATCH(B620,tblMaterial[SAP],0)),"?"))</f>
        <v/>
      </c>
      <c r="D620">
        <f>IF(B620="","",IFERROR(INDEX(tblMaterial[Lagerstand],MATCH(B620,tblMaterial[SAP],0)),"?"))</f>
        <v/>
      </c>
      <c r="E620">
        <f>IF(B620="","",IFERROR(INDEX(tblMaterial[Meldebestand],MATCH(B620,tblMaterial[SAP],0)),"?"))</f>
        <v/>
      </c>
      <c r="F620">
        <f>IF(OR(B620="",NOT(ISNUMBER(D620))),"",IF(D620&lt;E620,"JA",""))</f>
        <v/>
      </c>
    </row>
    <row r="621">
      <c r="A621">
        <f>IFERROR(INDEX(tblStellplatz[Stellplatz],ROW()-1),"")</f>
        <v/>
      </c>
      <c r="B621">
        <f>IFERROR(INDEX(tblStellplatz[SAP],ROW()-1),"")</f>
        <v/>
      </c>
      <c r="C621">
        <f>IF(B621="","",IFERROR(INDEX(tblMaterial[Bezeichnung],MATCH(B621,tblMaterial[SAP],0)),"?"))</f>
        <v/>
      </c>
      <c r="D621">
        <f>IF(B621="","",IFERROR(INDEX(tblMaterial[Lagerstand],MATCH(B621,tblMaterial[SAP],0)),"?"))</f>
        <v/>
      </c>
      <c r="E621">
        <f>IF(B621="","",IFERROR(INDEX(tblMaterial[Meldebestand],MATCH(B621,tblMaterial[SAP],0)),"?"))</f>
        <v/>
      </c>
      <c r="F621">
        <f>IF(OR(B621="",NOT(ISNUMBER(D621))),"",IF(D621&lt;E621,"JA",""))</f>
        <v/>
      </c>
    </row>
    <row r="622">
      <c r="A622">
        <f>IFERROR(INDEX(tblStellplatz[Stellplatz],ROW()-1),"")</f>
        <v/>
      </c>
      <c r="B622">
        <f>IFERROR(INDEX(tblStellplatz[SAP],ROW()-1),"")</f>
        <v/>
      </c>
      <c r="C622">
        <f>IF(B622="","",IFERROR(INDEX(tblMaterial[Bezeichnung],MATCH(B622,tblMaterial[SAP],0)),"?"))</f>
        <v/>
      </c>
      <c r="D622">
        <f>IF(B622="","",IFERROR(INDEX(tblMaterial[Lagerstand],MATCH(B622,tblMaterial[SAP],0)),"?"))</f>
        <v/>
      </c>
      <c r="E622">
        <f>IF(B622="","",IFERROR(INDEX(tblMaterial[Meldebestand],MATCH(B622,tblMaterial[SAP],0)),"?"))</f>
        <v/>
      </c>
      <c r="F622">
        <f>IF(OR(B622="",NOT(ISNUMBER(D622))),"",IF(D622&lt;E622,"JA",""))</f>
        <v/>
      </c>
    </row>
    <row r="623">
      <c r="A623">
        <f>IFERROR(INDEX(tblStellplatz[Stellplatz],ROW()-1),"")</f>
        <v/>
      </c>
      <c r="B623">
        <f>IFERROR(INDEX(tblStellplatz[SAP],ROW()-1),"")</f>
        <v/>
      </c>
      <c r="C623">
        <f>IF(B623="","",IFERROR(INDEX(tblMaterial[Bezeichnung],MATCH(B623,tblMaterial[SAP],0)),"?"))</f>
        <v/>
      </c>
      <c r="D623">
        <f>IF(B623="","",IFERROR(INDEX(tblMaterial[Lagerstand],MATCH(B623,tblMaterial[SAP],0)),"?"))</f>
        <v/>
      </c>
      <c r="E623">
        <f>IF(B623="","",IFERROR(INDEX(tblMaterial[Meldebestand],MATCH(B623,tblMaterial[SAP],0)),"?"))</f>
        <v/>
      </c>
      <c r="F623">
        <f>IF(OR(B623="",NOT(ISNUMBER(D623))),"",IF(D623&lt;E623,"JA",""))</f>
        <v/>
      </c>
    </row>
    <row r="624">
      <c r="A624">
        <f>IFERROR(INDEX(tblStellplatz[Stellplatz],ROW()-1),"")</f>
        <v/>
      </c>
      <c r="B624">
        <f>IFERROR(INDEX(tblStellplatz[SAP],ROW()-1),"")</f>
        <v/>
      </c>
      <c r="C624">
        <f>IF(B624="","",IFERROR(INDEX(tblMaterial[Bezeichnung],MATCH(B624,tblMaterial[SAP],0)),"?"))</f>
        <v/>
      </c>
      <c r="D624">
        <f>IF(B624="","",IFERROR(INDEX(tblMaterial[Lagerstand],MATCH(B624,tblMaterial[SAP],0)),"?"))</f>
        <v/>
      </c>
      <c r="E624">
        <f>IF(B624="","",IFERROR(INDEX(tblMaterial[Meldebestand],MATCH(B624,tblMaterial[SAP],0)),"?"))</f>
        <v/>
      </c>
      <c r="F624">
        <f>IF(OR(B624="",NOT(ISNUMBER(D624))),"",IF(D624&lt;E624,"JA",""))</f>
        <v/>
      </c>
    </row>
    <row r="625">
      <c r="A625">
        <f>IFERROR(INDEX(tblStellplatz[Stellplatz],ROW()-1),"")</f>
        <v/>
      </c>
      <c r="B625">
        <f>IFERROR(INDEX(tblStellplatz[SAP],ROW()-1),"")</f>
        <v/>
      </c>
      <c r="C625">
        <f>IF(B625="","",IFERROR(INDEX(tblMaterial[Bezeichnung],MATCH(B625,tblMaterial[SAP],0)),"?"))</f>
        <v/>
      </c>
      <c r="D625">
        <f>IF(B625="","",IFERROR(INDEX(tblMaterial[Lagerstand],MATCH(B625,tblMaterial[SAP],0)),"?"))</f>
        <v/>
      </c>
      <c r="E625">
        <f>IF(B625="","",IFERROR(INDEX(tblMaterial[Meldebestand],MATCH(B625,tblMaterial[SAP],0)),"?"))</f>
        <v/>
      </c>
      <c r="F625">
        <f>IF(OR(B625="",NOT(ISNUMBER(D625))),"",IF(D625&lt;E625,"JA",""))</f>
        <v/>
      </c>
    </row>
    <row r="626">
      <c r="A626">
        <f>IFERROR(INDEX(tblStellplatz[Stellplatz],ROW()-1),"")</f>
        <v/>
      </c>
      <c r="B626">
        <f>IFERROR(INDEX(tblStellplatz[SAP],ROW()-1),"")</f>
        <v/>
      </c>
      <c r="C626">
        <f>IF(B626="","",IFERROR(INDEX(tblMaterial[Bezeichnung],MATCH(B626,tblMaterial[SAP],0)),"?"))</f>
        <v/>
      </c>
      <c r="D626">
        <f>IF(B626="","",IFERROR(INDEX(tblMaterial[Lagerstand],MATCH(B626,tblMaterial[SAP],0)),"?"))</f>
        <v/>
      </c>
      <c r="E626">
        <f>IF(B626="","",IFERROR(INDEX(tblMaterial[Meldebestand],MATCH(B626,tblMaterial[SAP],0)),"?"))</f>
        <v/>
      </c>
      <c r="F626">
        <f>IF(OR(B626="",NOT(ISNUMBER(D626))),"",IF(D626&lt;E626,"JA",""))</f>
        <v/>
      </c>
    </row>
    <row r="627">
      <c r="A627">
        <f>IFERROR(INDEX(tblStellplatz[Stellplatz],ROW()-1),"")</f>
        <v/>
      </c>
      <c r="B627">
        <f>IFERROR(INDEX(tblStellplatz[SAP],ROW()-1),"")</f>
        <v/>
      </c>
      <c r="C627">
        <f>IF(B627="","",IFERROR(INDEX(tblMaterial[Bezeichnung],MATCH(B627,tblMaterial[SAP],0)),"?"))</f>
        <v/>
      </c>
      <c r="D627">
        <f>IF(B627="","",IFERROR(INDEX(tblMaterial[Lagerstand],MATCH(B627,tblMaterial[SAP],0)),"?"))</f>
        <v/>
      </c>
      <c r="E627">
        <f>IF(B627="","",IFERROR(INDEX(tblMaterial[Meldebestand],MATCH(B627,tblMaterial[SAP],0)),"?"))</f>
        <v/>
      </c>
      <c r="F627">
        <f>IF(OR(B627="",NOT(ISNUMBER(D627))),"",IF(D627&lt;E627,"JA",""))</f>
        <v/>
      </c>
    </row>
    <row r="628">
      <c r="A628">
        <f>IFERROR(INDEX(tblStellplatz[Stellplatz],ROW()-1),"")</f>
        <v/>
      </c>
      <c r="B628">
        <f>IFERROR(INDEX(tblStellplatz[SAP],ROW()-1),"")</f>
        <v/>
      </c>
      <c r="C628">
        <f>IF(B628="","",IFERROR(INDEX(tblMaterial[Bezeichnung],MATCH(B628,tblMaterial[SAP],0)),"?"))</f>
        <v/>
      </c>
      <c r="D628">
        <f>IF(B628="","",IFERROR(INDEX(tblMaterial[Lagerstand],MATCH(B628,tblMaterial[SAP],0)),"?"))</f>
        <v/>
      </c>
      <c r="E628">
        <f>IF(B628="","",IFERROR(INDEX(tblMaterial[Meldebestand],MATCH(B628,tblMaterial[SAP],0)),"?"))</f>
        <v/>
      </c>
      <c r="F628">
        <f>IF(OR(B628="",NOT(ISNUMBER(D628))),"",IF(D628&lt;E628,"JA",""))</f>
        <v/>
      </c>
    </row>
    <row r="629">
      <c r="A629">
        <f>IFERROR(INDEX(tblStellplatz[Stellplatz],ROW()-1),"")</f>
        <v/>
      </c>
      <c r="B629">
        <f>IFERROR(INDEX(tblStellplatz[SAP],ROW()-1),"")</f>
        <v/>
      </c>
      <c r="C629">
        <f>IF(B629="","",IFERROR(INDEX(tblMaterial[Bezeichnung],MATCH(B629,tblMaterial[SAP],0)),"?"))</f>
        <v/>
      </c>
      <c r="D629">
        <f>IF(B629="","",IFERROR(INDEX(tblMaterial[Lagerstand],MATCH(B629,tblMaterial[SAP],0)),"?"))</f>
        <v/>
      </c>
      <c r="E629">
        <f>IF(B629="","",IFERROR(INDEX(tblMaterial[Meldebestand],MATCH(B629,tblMaterial[SAP],0)),"?"))</f>
        <v/>
      </c>
      <c r="F629">
        <f>IF(OR(B629="",NOT(ISNUMBER(D629))),"",IF(D629&lt;E629,"JA",""))</f>
        <v/>
      </c>
    </row>
    <row r="630">
      <c r="A630">
        <f>IFERROR(INDEX(tblStellplatz[Stellplatz],ROW()-1),"")</f>
        <v/>
      </c>
      <c r="B630">
        <f>IFERROR(INDEX(tblStellplatz[SAP],ROW()-1),"")</f>
        <v/>
      </c>
      <c r="C630">
        <f>IF(B630="","",IFERROR(INDEX(tblMaterial[Bezeichnung],MATCH(B630,tblMaterial[SAP],0)),"?"))</f>
        <v/>
      </c>
      <c r="D630">
        <f>IF(B630="","",IFERROR(INDEX(tblMaterial[Lagerstand],MATCH(B630,tblMaterial[SAP],0)),"?"))</f>
        <v/>
      </c>
      <c r="E630">
        <f>IF(B630="","",IFERROR(INDEX(tblMaterial[Meldebestand],MATCH(B630,tblMaterial[SAP],0)),"?"))</f>
        <v/>
      </c>
      <c r="F630">
        <f>IF(OR(B630="",NOT(ISNUMBER(D630))),"",IF(D630&lt;E630,"JA",""))</f>
        <v/>
      </c>
    </row>
    <row r="631">
      <c r="A631">
        <f>IFERROR(INDEX(tblStellplatz[Stellplatz],ROW()-1),"")</f>
        <v/>
      </c>
      <c r="B631">
        <f>IFERROR(INDEX(tblStellplatz[SAP],ROW()-1),"")</f>
        <v/>
      </c>
      <c r="C631">
        <f>IF(B631="","",IFERROR(INDEX(tblMaterial[Bezeichnung],MATCH(B631,tblMaterial[SAP],0)),"?"))</f>
        <v/>
      </c>
      <c r="D631">
        <f>IF(B631="","",IFERROR(INDEX(tblMaterial[Lagerstand],MATCH(B631,tblMaterial[SAP],0)),"?"))</f>
        <v/>
      </c>
      <c r="E631">
        <f>IF(B631="","",IFERROR(INDEX(tblMaterial[Meldebestand],MATCH(B631,tblMaterial[SAP],0)),"?"))</f>
        <v/>
      </c>
      <c r="F631">
        <f>IF(OR(B631="",NOT(ISNUMBER(D631))),"",IF(D631&lt;E631,"JA",""))</f>
        <v/>
      </c>
    </row>
    <row r="632">
      <c r="A632">
        <f>IFERROR(INDEX(tblStellplatz[Stellplatz],ROW()-1),"")</f>
        <v/>
      </c>
      <c r="B632">
        <f>IFERROR(INDEX(tblStellplatz[SAP],ROW()-1),"")</f>
        <v/>
      </c>
      <c r="C632">
        <f>IF(B632="","",IFERROR(INDEX(tblMaterial[Bezeichnung],MATCH(B632,tblMaterial[SAP],0)),"?"))</f>
        <v/>
      </c>
      <c r="D632">
        <f>IF(B632="","",IFERROR(INDEX(tblMaterial[Lagerstand],MATCH(B632,tblMaterial[SAP],0)),"?"))</f>
        <v/>
      </c>
      <c r="E632">
        <f>IF(B632="","",IFERROR(INDEX(tblMaterial[Meldebestand],MATCH(B632,tblMaterial[SAP],0)),"?"))</f>
        <v/>
      </c>
      <c r="F632">
        <f>IF(OR(B632="",NOT(ISNUMBER(D632))),"",IF(D632&lt;E632,"JA",""))</f>
        <v/>
      </c>
    </row>
    <row r="633">
      <c r="A633">
        <f>IFERROR(INDEX(tblStellplatz[Stellplatz],ROW()-1),"")</f>
        <v/>
      </c>
      <c r="B633">
        <f>IFERROR(INDEX(tblStellplatz[SAP],ROW()-1),"")</f>
        <v/>
      </c>
      <c r="C633">
        <f>IF(B633="","",IFERROR(INDEX(tblMaterial[Bezeichnung],MATCH(B633,tblMaterial[SAP],0)),"?"))</f>
        <v/>
      </c>
      <c r="D633">
        <f>IF(B633="","",IFERROR(INDEX(tblMaterial[Lagerstand],MATCH(B633,tblMaterial[SAP],0)),"?"))</f>
        <v/>
      </c>
      <c r="E633">
        <f>IF(B633="","",IFERROR(INDEX(tblMaterial[Meldebestand],MATCH(B633,tblMaterial[SAP],0)),"?"))</f>
        <v/>
      </c>
      <c r="F633">
        <f>IF(OR(B633="",NOT(ISNUMBER(D633))),"",IF(D633&lt;E633,"JA",""))</f>
        <v/>
      </c>
    </row>
    <row r="634">
      <c r="A634">
        <f>IFERROR(INDEX(tblStellplatz[Stellplatz],ROW()-1),"")</f>
        <v/>
      </c>
      <c r="B634">
        <f>IFERROR(INDEX(tblStellplatz[SAP],ROW()-1),"")</f>
        <v/>
      </c>
      <c r="C634">
        <f>IF(B634="","",IFERROR(INDEX(tblMaterial[Bezeichnung],MATCH(B634,tblMaterial[SAP],0)),"?"))</f>
        <v/>
      </c>
      <c r="D634">
        <f>IF(B634="","",IFERROR(INDEX(tblMaterial[Lagerstand],MATCH(B634,tblMaterial[SAP],0)),"?"))</f>
        <v/>
      </c>
      <c r="E634">
        <f>IF(B634="","",IFERROR(INDEX(tblMaterial[Meldebestand],MATCH(B634,tblMaterial[SAP],0)),"?"))</f>
        <v/>
      </c>
      <c r="F634">
        <f>IF(OR(B634="",NOT(ISNUMBER(D634))),"",IF(D634&lt;E634,"JA",""))</f>
        <v/>
      </c>
    </row>
    <row r="635">
      <c r="A635">
        <f>IFERROR(INDEX(tblStellplatz[Stellplatz],ROW()-1),"")</f>
        <v/>
      </c>
      <c r="B635">
        <f>IFERROR(INDEX(tblStellplatz[SAP],ROW()-1),"")</f>
        <v/>
      </c>
      <c r="C635">
        <f>IF(B635="","",IFERROR(INDEX(tblMaterial[Bezeichnung],MATCH(B635,tblMaterial[SAP],0)),"?"))</f>
        <v/>
      </c>
      <c r="D635">
        <f>IF(B635="","",IFERROR(INDEX(tblMaterial[Lagerstand],MATCH(B635,tblMaterial[SAP],0)),"?"))</f>
        <v/>
      </c>
      <c r="E635">
        <f>IF(B635="","",IFERROR(INDEX(tblMaterial[Meldebestand],MATCH(B635,tblMaterial[SAP],0)),"?"))</f>
        <v/>
      </c>
      <c r="F635">
        <f>IF(OR(B635="",NOT(ISNUMBER(D635))),"",IF(D635&lt;E635,"JA",""))</f>
        <v/>
      </c>
    </row>
    <row r="636">
      <c r="A636">
        <f>IFERROR(INDEX(tblStellplatz[Stellplatz],ROW()-1),"")</f>
        <v/>
      </c>
      <c r="B636">
        <f>IFERROR(INDEX(tblStellplatz[SAP],ROW()-1),"")</f>
        <v/>
      </c>
      <c r="C636">
        <f>IF(B636="","",IFERROR(INDEX(tblMaterial[Bezeichnung],MATCH(B636,tblMaterial[SAP],0)),"?"))</f>
        <v/>
      </c>
      <c r="D636">
        <f>IF(B636="","",IFERROR(INDEX(tblMaterial[Lagerstand],MATCH(B636,tblMaterial[SAP],0)),"?"))</f>
        <v/>
      </c>
      <c r="E636">
        <f>IF(B636="","",IFERROR(INDEX(tblMaterial[Meldebestand],MATCH(B636,tblMaterial[SAP],0)),"?"))</f>
        <v/>
      </c>
      <c r="F636">
        <f>IF(OR(B636="",NOT(ISNUMBER(D636))),"",IF(D636&lt;E636,"JA",""))</f>
        <v/>
      </c>
    </row>
    <row r="637">
      <c r="A637">
        <f>IFERROR(INDEX(tblStellplatz[Stellplatz],ROW()-1),"")</f>
        <v/>
      </c>
      <c r="B637">
        <f>IFERROR(INDEX(tblStellplatz[SAP],ROW()-1),"")</f>
        <v/>
      </c>
      <c r="C637">
        <f>IF(B637="","",IFERROR(INDEX(tblMaterial[Bezeichnung],MATCH(B637,tblMaterial[SAP],0)),"?"))</f>
        <v/>
      </c>
      <c r="D637">
        <f>IF(B637="","",IFERROR(INDEX(tblMaterial[Lagerstand],MATCH(B637,tblMaterial[SAP],0)),"?"))</f>
        <v/>
      </c>
      <c r="E637">
        <f>IF(B637="","",IFERROR(INDEX(tblMaterial[Meldebestand],MATCH(B637,tblMaterial[SAP],0)),"?"))</f>
        <v/>
      </c>
      <c r="F637">
        <f>IF(OR(B637="",NOT(ISNUMBER(D637))),"",IF(D637&lt;E637,"JA",""))</f>
        <v/>
      </c>
    </row>
    <row r="638">
      <c r="A638">
        <f>IFERROR(INDEX(tblStellplatz[Stellplatz],ROW()-1),"")</f>
        <v/>
      </c>
      <c r="B638">
        <f>IFERROR(INDEX(tblStellplatz[SAP],ROW()-1),"")</f>
        <v/>
      </c>
      <c r="C638">
        <f>IF(B638="","",IFERROR(INDEX(tblMaterial[Bezeichnung],MATCH(B638,tblMaterial[SAP],0)),"?"))</f>
        <v/>
      </c>
      <c r="D638">
        <f>IF(B638="","",IFERROR(INDEX(tblMaterial[Lagerstand],MATCH(B638,tblMaterial[SAP],0)),"?"))</f>
        <v/>
      </c>
      <c r="E638">
        <f>IF(B638="","",IFERROR(INDEX(tblMaterial[Meldebestand],MATCH(B638,tblMaterial[SAP],0)),"?"))</f>
        <v/>
      </c>
      <c r="F638">
        <f>IF(OR(B638="",NOT(ISNUMBER(D638))),"",IF(D638&lt;E638,"JA",""))</f>
        <v/>
      </c>
    </row>
    <row r="639">
      <c r="A639">
        <f>IFERROR(INDEX(tblStellplatz[Stellplatz],ROW()-1),"")</f>
        <v/>
      </c>
      <c r="B639">
        <f>IFERROR(INDEX(tblStellplatz[SAP],ROW()-1),"")</f>
        <v/>
      </c>
      <c r="C639">
        <f>IF(B639="","",IFERROR(INDEX(tblMaterial[Bezeichnung],MATCH(B639,tblMaterial[SAP],0)),"?"))</f>
        <v/>
      </c>
      <c r="D639">
        <f>IF(B639="","",IFERROR(INDEX(tblMaterial[Lagerstand],MATCH(B639,tblMaterial[SAP],0)),"?"))</f>
        <v/>
      </c>
      <c r="E639">
        <f>IF(B639="","",IFERROR(INDEX(tblMaterial[Meldebestand],MATCH(B639,tblMaterial[SAP],0)),"?"))</f>
        <v/>
      </c>
      <c r="F639">
        <f>IF(OR(B639="",NOT(ISNUMBER(D639))),"",IF(D639&lt;E639,"JA",""))</f>
        <v/>
      </c>
    </row>
    <row r="640">
      <c r="A640">
        <f>IFERROR(INDEX(tblStellplatz[Stellplatz],ROW()-1),"")</f>
        <v/>
      </c>
      <c r="B640">
        <f>IFERROR(INDEX(tblStellplatz[SAP],ROW()-1),"")</f>
        <v/>
      </c>
      <c r="C640">
        <f>IF(B640="","",IFERROR(INDEX(tblMaterial[Bezeichnung],MATCH(B640,tblMaterial[SAP],0)),"?"))</f>
        <v/>
      </c>
      <c r="D640">
        <f>IF(B640="","",IFERROR(INDEX(tblMaterial[Lagerstand],MATCH(B640,tblMaterial[SAP],0)),"?"))</f>
        <v/>
      </c>
      <c r="E640">
        <f>IF(B640="","",IFERROR(INDEX(tblMaterial[Meldebestand],MATCH(B640,tblMaterial[SAP],0)),"?"))</f>
        <v/>
      </c>
      <c r="F640">
        <f>IF(OR(B640="",NOT(ISNUMBER(D640))),"",IF(D640&lt;E640,"JA",""))</f>
        <v/>
      </c>
    </row>
    <row r="641">
      <c r="A641">
        <f>IFERROR(INDEX(tblStellplatz[Stellplatz],ROW()-1),"")</f>
        <v/>
      </c>
      <c r="B641">
        <f>IFERROR(INDEX(tblStellplatz[SAP],ROW()-1),"")</f>
        <v/>
      </c>
      <c r="C641">
        <f>IF(B641="","",IFERROR(INDEX(tblMaterial[Bezeichnung],MATCH(B641,tblMaterial[SAP],0)),"?"))</f>
        <v/>
      </c>
      <c r="D641">
        <f>IF(B641="","",IFERROR(INDEX(tblMaterial[Lagerstand],MATCH(B641,tblMaterial[SAP],0)),"?"))</f>
        <v/>
      </c>
      <c r="E641">
        <f>IF(B641="","",IFERROR(INDEX(tblMaterial[Meldebestand],MATCH(B641,tblMaterial[SAP],0)),"?"))</f>
        <v/>
      </c>
      <c r="F641">
        <f>IF(OR(B641="",NOT(ISNUMBER(D641))),"",IF(D641&lt;E641,"JA",""))</f>
        <v/>
      </c>
    </row>
    <row r="642">
      <c r="A642">
        <f>IFERROR(INDEX(tblStellplatz[Stellplatz],ROW()-1),"")</f>
        <v/>
      </c>
      <c r="B642">
        <f>IFERROR(INDEX(tblStellplatz[SAP],ROW()-1),"")</f>
        <v/>
      </c>
      <c r="C642">
        <f>IF(B642="","",IFERROR(INDEX(tblMaterial[Bezeichnung],MATCH(B642,tblMaterial[SAP],0)),"?"))</f>
        <v/>
      </c>
      <c r="D642">
        <f>IF(B642="","",IFERROR(INDEX(tblMaterial[Lagerstand],MATCH(B642,tblMaterial[SAP],0)),"?"))</f>
        <v/>
      </c>
      <c r="E642">
        <f>IF(B642="","",IFERROR(INDEX(tblMaterial[Meldebestand],MATCH(B642,tblMaterial[SAP],0)),"?"))</f>
        <v/>
      </c>
      <c r="F642">
        <f>IF(OR(B642="",NOT(ISNUMBER(D642))),"",IF(D642&lt;E642,"JA",""))</f>
        <v/>
      </c>
    </row>
    <row r="643">
      <c r="A643">
        <f>IFERROR(INDEX(tblStellplatz[Stellplatz],ROW()-1),"")</f>
        <v/>
      </c>
      <c r="B643">
        <f>IFERROR(INDEX(tblStellplatz[SAP],ROW()-1),"")</f>
        <v/>
      </c>
      <c r="C643">
        <f>IF(B643="","",IFERROR(INDEX(tblMaterial[Bezeichnung],MATCH(B643,tblMaterial[SAP],0)),"?"))</f>
        <v/>
      </c>
      <c r="D643">
        <f>IF(B643="","",IFERROR(INDEX(tblMaterial[Lagerstand],MATCH(B643,tblMaterial[SAP],0)),"?"))</f>
        <v/>
      </c>
      <c r="E643">
        <f>IF(B643="","",IFERROR(INDEX(tblMaterial[Meldebestand],MATCH(B643,tblMaterial[SAP],0)),"?"))</f>
        <v/>
      </c>
      <c r="F643">
        <f>IF(OR(B643="",NOT(ISNUMBER(D643))),"",IF(D643&lt;E643,"JA",""))</f>
        <v/>
      </c>
    </row>
    <row r="644">
      <c r="A644">
        <f>IFERROR(INDEX(tblStellplatz[Stellplatz],ROW()-1),"")</f>
        <v/>
      </c>
      <c r="B644">
        <f>IFERROR(INDEX(tblStellplatz[SAP],ROW()-1),"")</f>
        <v/>
      </c>
      <c r="C644">
        <f>IF(B644="","",IFERROR(INDEX(tblMaterial[Bezeichnung],MATCH(B644,tblMaterial[SAP],0)),"?"))</f>
        <v/>
      </c>
      <c r="D644">
        <f>IF(B644="","",IFERROR(INDEX(tblMaterial[Lagerstand],MATCH(B644,tblMaterial[SAP],0)),"?"))</f>
        <v/>
      </c>
      <c r="E644">
        <f>IF(B644="","",IFERROR(INDEX(tblMaterial[Meldebestand],MATCH(B644,tblMaterial[SAP],0)),"?"))</f>
        <v/>
      </c>
      <c r="F644">
        <f>IF(OR(B644="",NOT(ISNUMBER(D644))),"",IF(D644&lt;E644,"JA",""))</f>
        <v/>
      </c>
    </row>
    <row r="645">
      <c r="A645">
        <f>IFERROR(INDEX(tblStellplatz[Stellplatz],ROW()-1),"")</f>
        <v/>
      </c>
      <c r="B645">
        <f>IFERROR(INDEX(tblStellplatz[SAP],ROW()-1),"")</f>
        <v/>
      </c>
      <c r="C645">
        <f>IF(B645="","",IFERROR(INDEX(tblMaterial[Bezeichnung],MATCH(B645,tblMaterial[SAP],0)),"?"))</f>
        <v/>
      </c>
      <c r="D645">
        <f>IF(B645="","",IFERROR(INDEX(tblMaterial[Lagerstand],MATCH(B645,tblMaterial[SAP],0)),"?"))</f>
        <v/>
      </c>
      <c r="E645">
        <f>IF(B645="","",IFERROR(INDEX(tblMaterial[Meldebestand],MATCH(B645,tblMaterial[SAP],0)),"?"))</f>
        <v/>
      </c>
      <c r="F645">
        <f>IF(OR(B645="",NOT(ISNUMBER(D645))),"",IF(D645&lt;E645,"JA",""))</f>
        <v/>
      </c>
    </row>
    <row r="646">
      <c r="A646">
        <f>IFERROR(INDEX(tblStellplatz[Stellplatz],ROW()-1),"")</f>
        <v/>
      </c>
      <c r="B646">
        <f>IFERROR(INDEX(tblStellplatz[SAP],ROW()-1),"")</f>
        <v/>
      </c>
      <c r="C646">
        <f>IF(B646="","",IFERROR(INDEX(tblMaterial[Bezeichnung],MATCH(B646,tblMaterial[SAP],0)),"?"))</f>
        <v/>
      </c>
      <c r="D646">
        <f>IF(B646="","",IFERROR(INDEX(tblMaterial[Lagerstand],MATCH(B646,tblMaterial[SAP],0)),"?"))</f>
        <v/>
      </c>
      <c r="E646">
        <f>IF(B646="","",IFERROR(INDEX(tblMaterial[Meldebestand],MATCH(B646,tblMaterial[SAP],0)),"?"))</f>
        <v/>
      </c>
      <c r="F646">
        <f>IF(OR(B646="",NOT(ISNUMBER(D646))),"",IF(D646&lt;E646,"JA",""))</f>
        <v/>
      </c>
    </row>
    <row r="647">
      <c r="A647">
        <f>IFERROR(INDEX(tblStellplatz[Stellplatz],ROW()-1),"")</f>
        <v/>
      </c>
      <c r="B647">
        <f>IFERROR(INDEX(tblStellplatz[SAP],ROW()-1),"")</f>
        <v/>
      </c>
      <c r="C647">
        <f>IF(B647="","",IFERROR(INDEX(tblMaterial[Bezeichnung],MATCH(B647,tblMaterial[SAP],0)),"?"))</f>
        <v/>
      </c>
      <c r="D647">
        <f>IF(B647="","",IFERROR(INDEX(tblMaterial[Lagerstand],MATCH(B647,tblMaterial[SAP],0)),"?"))</f>
        <v/>
      </c>
      <c r="E647">
        <f>IF(B647="","",IFERROR(INDEX(tblMaterial[Meldebestand],MATCH(B647,tblMaterial[SAP],0)),"?"))</f>
        <v/>
      </c>
      <c r="F647">
        <f>IF(OR(B647="",NOT(ISNUMBER(D647))),"",IF(D647&lt;E647,"JA",""))</f>
        <v/>
      </c>
    </row>
    <row r="648">
      <c r="A648">
        <f>IFERROR(INDEX(tblStellplatz[Stellplatz],ROW()-1),"")</f>
        <v/>
      </c>
      <c r="B648">
        <f>IFERROR(INDEX(tblStellplatz[SAP],ROW()-1),"")</f>
        <v/>
      </c>
      <c r="C648">
        <f>IF(B648="","",IFERROR(INDEX(tblMaterial[Bezeichnung],MATCH(B648,tblMaterial[SAP],0)),"?"))</f>
        <v/>
      </c>
      <c r="D648">
        <f>IF(B648="","",IFERROR(INDEX(tblMaterial[Lagerstand],MATCH(B648,tblMaterial[SAP],0)),"?"))</f>
        <v/>
      </c>
      <c r="E648">
        <f>IF(B648="","",IFERROR(INDEX(tblMaterial[Meldebestand],MATCH(B648,tblMaterial[SAP],0)),"?"))</f>
        <v/>
      </c>
      <c r="F648">
        <f>IF(OR(B648="",NOT(ISNUMBER(D648))),"",IF(D648&lt;E648,"JA",""))</f>
        <v/>
      </c>
    </row>
    <row r="649">
      <c r="A649">
        <f>IFERROR(INDEX(tblStellplatz[Stellplatz],ROW()-1),"")</f>
        <v/>
      </c>
      <c r="B649">
        <f>IFERROR(INDEX(tblStellplatz[SAP],ROW()-1),"")</f>
        <v/>
      </c>
      <c r="C649">
        <f>IF(B649="","",IFERROR(INDEX(tblMaterial[Bezeichnung],MATCH(B649,tblMaterial[SAP],0)),"?"))</f>
        <v/>
      </c>
      <c r="D649">
        <f>IF(B649="","",IFERROR(INDEX(tblMaterial[Lagerstand],MATCH(B649,tblMaterial[SAP],0)),"?"))</f>
        <v/>
      </c>
      <c r="E649">
        <f>IF(B649="","",IFERROR(INDEX(tblMaterial[Meldebestand],MATCH(B649,tblMaterial[SAP],0)),"?"))</f>
        <v/>
      </c>
      <c r="F649">
        <f>IF(OR(B649="",NOT(ISNUMBER(D649))),"",IF(D649&lt;E649,"JA",""))</f>
        <v/>
      </c>
    </row>
    <row r="650">
      <c r="A650">
        <f>IFERROR(INDEX(tblStellplatz[Stellplatz],ROW()-1),"")</f>
        <v/>
      </c>
      <c r="B650">
        <f>IFERROR(INDEX(tblStellplatz[SAP],ROW()-1),"")</f>
        <v/>
      </c>
      <c r="C650">
        <f>IF(B650="","",IFERROR(INDEX(tblMaterial[Bezeichnung],MATCH(B650,tblMaterial[SAP],0)),"?"))</f>
        <v/>
      </c>
      <c r="D650">
        <f>IF(B650="","",IFERROR(INDEX(tblMaterial[Lagerstand],MATCH(B650,tblMaterial[SAP],0)),"?"))</f>
        <v/>
      </c>
      <c r="E650">
        <f>IF(B650="","",IFERROR(INDEX(tblMaterial[Meldebestand],MATCH(B650,tblMaterial[SAP],0)),"?"))</f>
        <v/>
      </c>
      <c r="F650">
        <f>IF(OR(B650="",NOT(ISNUMBER(D650))),"",IF(D650&lt;E650,"JA",""))</f>
        <v/>
      </c>
    </row>
    <row r="651">
      <c r="A651">
        <f>IFERROR(INDEX(tblStellplatz[Stellplatz],ROW()-1),"")</f>
        <v/>
      </c>
      <c r="B651">
        <f>IFERROR(INDEX(tblStellplatz[SAP],ROW()-1),"")</f>
        <v/>
      </c>
      <c r="C651">
        <f>IF(B651="","",IFERROR(INDEX(tblMaterial[Bezeichnung],MATCH(B651,tblMaterial[SAP],0)),"?"))</f>
        <v/>
      </c>
      <c r="D651">
        <f>IF(B651="","",IFERROR(INDEX(tblMaterial[Lagerstand],MATCH(B651,tblMaterial[SAP],0)),"?"))</f>
        <v/>
      </c>
      <c r="E651">
        <f>IF(B651="","",IFERROR(INDEX(tblMaterial[Meldebestand],MATCH(B651,tblMaterial[SAP],0)),"?"))</f>
        <v/>
      </c>
      <c r="F651">
        <f>IF(OR(B651="",NOT(ISNUMBER(D651))),"",IF(D651&lt;E651,"JA",""))</f>
        <v/>
      </c>
    </row>
    <row r="652">
      <c r="A652">
        <f>IFERROR(INDEX(tblStellplatz[Stellplatz],ROW()-1),"")</f>
        <v/>
      </c>
      <c r="B652">
        <f>IFERROR(INDEX(tblStellplatz[SAP],ROW()-1),"")</f>
        <v/>
      </c>
      <c r="C652">
        <f>IF(B652="","",IFERROR(INDEX(tblMaterial[Bezeichnung],MATCH(B652,tblMaterial[SAP],0)),"?"))</f>
        <v/>
      </c>
      <c r="D652">
        <f>IF(B652="","",IFERROR(INDEX(tblMaterial[Lagerstand],MATCH(B652,tblMaterial[SAP],0)),"?"))</f>
        <v/>
      </c>
      <c r="E652">
        <f>IF(B652="","",IFERROR(INDEX(tblMaterial[Meldebestand],MATCH(B652,tblMaterial[SAP],0)),"?"))</f>
        <v/>
      </c>
      <c r="F652">
        <f>IF(OR(B652="",NOT(ISNUMBER(D652))),"",IF(D652&lt;E652,"JA",""))</f>
        <v/>
      </c>
    </row>
    <row r="653">
      <c r="A653">
        <f>IFERROR(INDEX(tblStellplatz[Stellplatz],ROW()-1),"")</f>
        <v/>
      </c>
      <c r="B653">
        <f>IFERROR(INDEX(tblStellplatz[SAP],ROW()-1),"")</f>
        <v/>
      </c>
      <c r="C653">
        <f>IF(B653="","",IFERROR(INDEX(tblMaterial[Bezeichnung],MATCH(B653,tblMaterial[SAP],0)),"?"))</f>
        <v/>
      </c>
      <c r="D653">
        <f>IF(B653="","",IFERROR(INDEX(tblMaterial[Lagerstand],MATCH(B653,tblMaterial[SAP],0)),"?"))</f>
        <v/>
      </c>
      <c r="E653">
        <f>IF(B653="","",IFERROR(INDEX(tblMaterial[Meldebestand],MATCH(B653,tblMaterial[SAP],0)),"?"))</f>
        <v/>
      </c>
      <c r="F653">
        <f>IF(OR(B653="",NOT(ISNUMBER(D653))),"",IF(D653&lt;E653,"JA",""))</f>
        <v/>
      </c>
    </row>
    <row r="654">
      <c r="A654">
        <f>IFERROR(INDEX(tblStellplatz[Stellplatz],ROW()-1),"")</f>
        <v/>
      </c>
      <c r="B654">
        <f>IFERROR(INDEX(tblStellplatz[SAP],ROW()-1),"")</f>
        <v/>
      </c>
      <c r="C654">
        <f>IF(B654="","",IFERROR(INDEX(tblMaterial[Bezeichnung],MATCH(B654,tblMaterial[SAP],0)),"?"))</f>
        <v/>
      </c>
      <c r="D654">
        <f>IF(B654="","",IFERROR(INDEX(tblMaterial[Lagerstand],MATCH(B654,tblMaterial[SAP],0)),"?"))</f>
        <v/>
      </c>
      <c r="E654">
        <f>IF(B654="","",IFERROR(INDEX(tblMaterial[Meldebestand],MATCH(B654,tblMaterial[SAP],0)),"?"))</f>
        <v/>
      </c>
      <c r="F654">
        <f>IF(OR(B654="",NOT(ISNUMBER(D654))),"",IF(D654&lt;E654,"JA",""))</f>
        <v/>
      </c>
    </row>
    <row r="655">
      <c r="A655">
        <f>IFERROR(INDEX(tblStellplatz[Stellplatz],ROW()-1),"")</f>
        <v/>
      </c>
      <c r="B655">
        <f>IFERROR(INDEX(tblStellplatz[SAP],ROW()-1),"")</f>
        <v/>
      </c>
      <c r="C655">
        <f>IF(B655="","",IFERROR(INDEX(tblMaterial[Bezeichnung],MATCH(B655,tblMaterial[SAP],0)),"?"))</f>
        <v/>
      </c>
      <c r="D655">
        <f>IF(B655="","",IFERROR(INDEX(tblMaterial[Lagerstand],MATCH(B655,tblMaterial[SAP],0)),"?"))</f>
        <v/>
      </c>
      <c r="E655">
        <f>IF(B655="","",IFERROR(INDEX(tblMaterial[Meldebestand],MATCH(B655,tblMaterial[SAP],0)),"?"))</f>
        <v/>
      </c>
      <c r="F655">
        <f>IF(OR(B655="",NOT(ISNUMBER(D655))),"",IF(D655&lt;E655,"JA",""))</f>
        <v/>
      </c>
    </row>
    <row r="656">
      <c r="A656">
        <f>IFERROR(INDEX(tblStellplatz[Stellplatz],ROW()-1),"")</f>
        <v/>
      </c>
      <c r="B656">
        <f>IFERROR(INDEX(tblStellplatz[SAP],ROW()-1),"")</f>
        <v/>
      </c>
      <c r="C656">
        <f>IF(B656="","",IFERROR(INDEX(tblMaterial[Bezeichnung],MATCH(B656,tblMaterial[SAP],0)),"?"))</f>
        <v/>
      </c>
      <c r="D656">
        <f>IF(B656="","",IFERROR(INDEX(tblMaterial[Lagerstand],MATCH(B656,tblMaterial[SAP],0)),"?"))</f>
        <v/>
      </c>
      <c r="E656">
        <f>IF(B656="","",IFERROR(INDEX(tblMaterial[Meldebestand],MATCH(B656,tblMaterial[SAP],0)),"?"))</f>
        <v/>
      </c>
      <c r="F656">
        <f>IF(OR(B656="",NOT(ISNUMBER(D656))),"",IF(D656&lt;E656,"JA",""))</f>
        <v/>
      </c>
    </row>
    <row r="657">
      <c r="A657">
        <f>IFERROR(INDEX(tblStellplatz[Stellplatz],ROW()-1),"")</f>
        <v/>
      </c>
      <c r="B657">
        <f>IFERROR(INDEX(tblStellplatz[SAP],ROW()-1),"")</f>
        <v/>
      </c>
      <c r="C657">
        <f>IF(B657="","",IFERROR(INDEX(tblMaterial[Bezeichnung],MATCH(B657,tblMaterial[SAP],0)),"?"))</f>
        <v/>
      </c>
      <c r="D657">
        <f>IF(B657="","",IFERROR(INDEX(tblMaterial[Lagerstand],MATCH(B657,tblMaterial[SAP],0)),"?"))</f>
        <v/>
      </c>
      <c r="E657">
        <f>IF(B657="","",IFERROR(INDEX(tblMaterial[Meldebestand],MATCH(B657,tblMaterial[SAP],0)),"?"))</f>
        <v/>
      </c>
      <c r="F657">
        <f>IF(OR(B657="",NOT(ISNUMBER(D657))),"",IF(D657&lt;E657,"JA",""))</f>
        <v/>
      </c>
    </row>
    <row r="658">
      <c r="A658">
        <f>IFERROR(INDEX(tblStellplatz[Stellplatz],ROW()-1),"")</f>
        <v/>
      </c>
      <c r="B658">
        <f>IFERROR(INDEX(tblStellplatz[SAP],ROW()-1),"")</f>
        <v/>
      </c>
      <c r="C658">
        <f>IF(B658="","",IFERROR(INDEX(tblMaterial[Bezeichnung],MATCH(B658,tblMaterial[SAP],0)),"?"))</f>
        <v/>
      </c>
      <c r="D658">
        <f>IF(B658="","",IFERROR(INDEX(tblMaterial[Lagerstand],MATCH(B658,tblMaterial[SAP],0)),"?"))</f>
        <v/>
      </c>
      <c r="E658">
        <f>IF(B658="","",IFERROR(INDEX(tblMaterial[Meldebestand],MATCH(B658,tblMaterial[SAP],0)),"?"))</f>
        <v/>
      </c>
      <c r="F658">
        <f>IF(OR(B658="",NOT(ISNUMBER(D658))),"",IF(D658&lt;E658,"JA",""))</f>
        <v/>
      </c>
    </row>
    <row r="659">
      <c r="A659">
        <f>IFERROR(INDEX(tblStellplatz[Stellplatz],ROW()-1),"")</f>
        <v/>
      </c>
      <c r="B659">
        <f>IFERROR(INDEX(tblStellplatz[SAP],ROW()-1),"")</f>
        <v/>
      </c>
      <c r="C659">
        <f>IF(B659="","",IFERROR(INDEX(tblMaterial[Bezeichnung],MATCH(B659,tblMaterial[SAP],0)),"?"))</f>
        <v/>
      </c>
      <c r="D659">
        <f>IF(B659="","",IFERROR(INDEX(tblMaterial[Lagerstand],MATCH(B659,tblMaterial[SAP],0)),"?"))</f>
        <v/>
      </c>
      <c r="E659">
        <f>IF(B659="","",IFERROR(INDEX(tblMaterial[Meldebestand],MATCH(B659,tblMaterial[SAP],0)),"?"))</f>
        <v/>
      </c>
      <c r="F659">
        <f>IF(OR(B659="",NOT(ISNUMBER(D659))),"",IF(D659&lt;E659,"JA",""))</f>
        <v/>
      </c>
    </row>
    <row r="660">
      <c r="A660">
        <f>IFERROR(INDEX(tblStellplatz[Stellplatz],ROW()-1),"")</f>
        <v/>
      </c>
      <c r="B660">
        <f>IFERROR(INDEX(tblStellplatz[SAP],ROW()-1),"")</f>
        <v/>
      </c>
      <c r="C660">
        <f>IF(B660="","",IFERROR(INDEX(tblMaterial[Bezeichnung],MATCH(B660,tblMaterial[SAP],0)),"?"))</f>
        <v/>
      </c>
      <c r="D660">
        <f>IF(B660="","",IFERROR(INDEX(tblMaterial[Lagerstand],MATCH(B660,tblMaterial[SAP],0)),"?"))</f>
        <v/>
      </c>
      <c r="E660">
        <f>IF(B660="","",IFERROR(INDEX(tblMaterial[Meldebestand],MATCH(B660,tblMaterial[SAP],0)),"?"))</f>
        <v/>
      </c>
      <c r="F660">
        <f>IF(OR(B660="",NOT(ISNUMBER(D660))),"",IF(D660&lt;E660,"JA",""))</f>
        <v/>
      </c>
    </row>
    <row r="661">
      <c r="A661">
        <f>IFERROR(INDEX(tblStellplatz[Stellplatz],ROW()-1),"")</f>
        <v/>
      </c>
      <c r="B661">
        <f>IFERROR(INDEX(tblStellplatz[SAP],ROW()-1),"")</f>
        <v/>
      </c>
      <c r="C661">
        <f>IF(B661="","",IFERROR(INDEX(tblMaterial[Bezeichnung],MATCH(B661,tblMaterial[SAP],0)),"?"))</f>
        <v/>
      </c>
      <c r="D661">
        <f>IF(B661="","",IFERROR(INDEX(tblMaterial[Lagerstand],MATCH(B661,tblMaterial[SAP],0)),"?"))</f>
        <v/>
      </c>
      <c r="E661">
        <f>IF(B661="","",IFERROR(INDEX(tblMaterial[Meldebestand],MATCH(B661,tblMaterial[SAP],0)),"?"))</f>
        <v/>
      </c>
      <c r="F661">
        <f>IF(OR(B661="",NOT(ISNUMBER(D661))),"",IF(D661&lt;E661,"JA",""))</f>
        <v/>
      </c>
    </row>
    <row r="662">
      <c r="A662">
        <f>IFERROR(INDEX(tblStellplatz[Stellplatz],ROW()-1),"")</f>
        <v/>
      </c>
      <c r="B662">
        <f>IFERROR(INDEX(tblStellplatz[SAP],ROW()-1),"")</f>
        <v/>
      </c>
      <c r="C662">
        <f>IF(B662="","",IFERROR(INDEX(tblMaterial[Bezeichnung],MATCH(B662,tblMaterial[SAP],0)),"?"))</f>
        <v/>
      </c>
      <c r="D662">
        <f>IF(B662="","",IFERROR(INDEX(tblMaterial[Lagerstand],MATCH(B662,tblMaterial[SAP],0)),"?"))</f>
        <v/>
      </c>
      <c r="E662">
        <f>IF(B662="","",IFERROR(INDEX(tblMaterial[Meldebestand],MATCH(B662,tblMaterial[SAP],0)),"?"))</f>
        <v/>
      </c>
      <c r="F662">
        <f>IF(OR(B662="",NOT(ISNUMBER(D662))),"",IF(D662&lt;E662,"JA",""))</f>
        <v/>
      </c>
    </row>
    <row r="663">
      <c r="A663">
        <f>IFERROR(INDEX(tblStellplatz[Stellplatz],ROW()-1),"")</f>
        <v/>
      </c>
      <c r="B663">
        <f>IFERROR(INDEX(tblStellplatz[SAP],ROW()-1),"")</f>
        <v/>
      </c>
      <c r="C663">
        <f>IF(B663="","",IFERROR(INDEX(tblMaterial[Bezeichnung],MATCH(B663,tblMaterial[SAP],0)),"?"))</f>
        <v/>
      </c>
      <c r="D663">
        <f>IF(B663="","",IFERROR(INDEX(tblMaterial[Lagerstand],MATCH(B663,tblMaterial[SAP],0)),"?"))</f>
        <v/>
      </c>
      <c r="E663">
        <f>IF(B663="","",IFERROR(INDEX(tblMaterial[Meldebestand],MATCH(B663,tblMaterial[SAP],0)),"?"))</f>
        <v/>
      </c>
      <c r="F663">
        <f>IF(OR(B663="",NOT(ISNUMBER(D663))),"",IF(D663&lt;E663,"JA",""))</f>
        <v/>
      </c>
    </row>
    <row r="664">
      <c r="A664">
        <f>IFERROR(INDEX(tblStellplatz[Stellplatz],ROW()-1),"")</f>
        <v/>
      </c>
      <c r="B664">
        <f>IFERROR(INDEX(tblStellplatz[SAP],ROW()-1),"")</f>
        <v/>
      </c>
      <c r="C664">
        <f>IF(B664="","",IFERROR(INDEX(tblMaterial[Bezeichnung],MATCH(B664,tblMaterial[SAP],0)),"?"))</f>
        <v/>
      </c>
      <c r="D664">
        <f>IF(B664="","",IFERROR(INDEX(tblMaterial[Lagerstand],MATCH(B664,tblMaterial[SAP],0)),"?"))</f>
        <v/>
      </c>
      <c r="E664">
        <f>IF(B664="","",IFERROR(INDEX(tblMaterial[Meldebestand],MATCH(B664,tblMaterial[SAP],0)),"?"))</f>
        <v/>
      </c>
      <c r="F664">
        <f>IF(OR(B664="",NOT(ISNUMBER(D664))),"",IF(D664&lt;E664,"JA",""))</f>
        <v/>
      </c>
    </row>
    <row r="665">
      <c r="A665">
        <f>IFERROR(INDEX(tblStellplatz[Stellplatz],ROW()-1),"")</f>
        <v/>
      </c>
      <c r="B665">
        <f>IFERROR(INDEX(tblStellplatz[SAP],ROW()-1),"")</f>
        <v/>
      </c>
      <c r="C665">
        <f>IF(B665="","",IFERROR(INDEX(tblMaterial[Bezeichnung],MATCH(B665,tblMaterial[SAP],0)),"?"))</f>
        <v/>
      </c>
      <c r="D665">
        <f>IF(B665="","",IFERROR(INDEX(tblMaterial[Lagerstand],MATCH(B665,tblMaterial[SAP],0)),"?"))</f>
        <v/>
      </c>
      <c r="E665">
        <f>IF(B665="","",IFERROR(INDEX(tblMaterial[Meldebestand],MATCH(B665,tblMaterial[SAP],0)),"?"))</f>
        <v/>
      </c>
      <c r="F665">
        <f>IF(OR(B665="",NOT(ISNUMBER(D665))),"",IF(D665&lt;E665,"JA",""))</f>
        <v/>
      </c>
    </row>
    <row r="666">
      <c r="A666">
        <f>IFERROR(INDEX(tblStellplatz[Stellplatz],ROW()-1),"")</f>
        <v/>
      </c>
      <c r="B666">
        <f>IFERROR(INDEX(tblStellplatz[SAP],ROW()-1),"")</f>
        <v/>
      </c>
      <c r="C666">
        <f>IF(B666="","",IFERROR(INDEX(tblMaterial[Bezeichnung],MATCH(B666,tblMaterial[SAP],0)),"?"))</f>
        <v/>
      </c>
      <c r="D666">
        <f>IF(B666="","",IFERROR(INDEX(tblMaterial[Lagerstand],MATCH(B666,tblMaterial[SAP],0)),"?"))</f>
        <v/>
      </c>
      <c r="E666">
        <f>IF(B666="","",IFERROR(INDEX(tblMaterial[Meldebestand],MATCH(B666,tblMaterial[SAP],0)),"?"))</f>
        <v/>
      </c>
      <c r="F666">
        <f>IF(OR(B666="",NOT(ISNUMBER(D666))),"",IF(D666&lt;E666,"JA",""))</f>
        <v/>
      </c>
    </row>
    <row r="667">
      <c r="A667">
        <f>IFERROR(INDEX(tblStellplatz[Stellplatz],ROW()-1),"")</f>
        <v/>
      </c>
      <c r="B667">
        <f>IFERROR(INDEX(tblStellplatz[SAP],ROW()-1),"")</f>
        <v/>
      </c>
      <c r="C667">
        <f>IF(B667="","",IFERROR(INDEX(tblMaterial[Bezeichnung],MATCH(B667,tblMaterial[SAP],0)),"?"))</f>
        <v/>
      </c>
      <c r="D667">
        <f>IF(B667="","",IFERROR(INDEX(tblMaterial[Lagerstand],MATCH(B667,tblMaterial[SAP],0)),"?"))</f>
        <v/>
      </c>
      <c r="E667">
        <f>IF(B667="","",IFERROR(INDEX(tblMaterial[Meldebestand],MATCH(B667,tblMaterial[SAP],0)),"?"))</f>
        <v/>
      </c>
      <c r="F667">
        <f>IF(OR(B667="",NOT(ISNUMBER(D667))),"",IF(D667&lt;E667,"JA",""))</f>
        <v/>
      </c>
    </row>
    <row r="668">
      <c r="A668">
        <f>IFERROR(INDEX(tblStellplatz[Stellplatz],ROW()-1),"")</f>
        <v/>
      </c>
      <c r="B668">
        <f>IFERROR(INDEX(tblStellplatz[SAP],ROW()-1),"")</f>
        <v/>
      </c>
      <c r="C668">
        <f>IF(B668="","",IFERROR(INDEX(tblMaterial[Bezeichnung],MATCH(B668,tblMaterial[SAP],0)),"?"))</f>
        <v/>
      </c>
      <c r="D668">
        <f>IF(B668="","",IFERROR(INDEX(tblMaterial[Lagerstand],MATCH(B668,tblMaterial[SAP],0)),"?"))</f>
        <v/>
      </c>
      <c r="E668">
        <f>IF(B668="","",IFERROR(INDEX(tblMaterial[Meldebestand],MATCH(B668,tblMaterial[SAP],0)),"?"))</f>
        <v/>
      </c>
      <c r="F668">
        <f>IF(OR(B668="",NOT(ISNUMBER(D668))),"",IF(D668&lt;E668,"JA",""))</f>
        <v/>
      </c>
    </row>
    <row r="669">
      <c r="A669">
        <f>IFERROR(INDEX(tblStellplatz[Stellplatz],ROW()-1),"")</f>
        <v/>
      </c>
      <c r="B669">
        <f>IFERROR(INDEX(tblStellplatz[SAP],ROW()-1),"")</f>
        <v/>
      </c>
      <c r="C669">
        <f>IF(B669="","",IFERROR(INDEX(tblMaterial[Bezeichnung],MATCH(B669,tblMaterial[SAP],0)),"?"))</f>
        <v/>
      </c>
      <c r="D669">
        <f>IF(B669="","",IFERROR(INDEX(tblMaterial[Lagerstand],MATCH(B669,tblMaterial[SAP],0)),"?"))</f>
        <v/>
      </c>
      <c r="E669">
        <f>IF(B669="","",IFERROR(INDEX(tblMaterial[Meldebestand],MATCH(B669,tblMaterial[SAP],0)),"?"))</f>
        <v/>
      </c>
      <c r="F669">
        <f>IF(OR(B669="",NOT(ISNUMBER(D669))),"",IF(D669&lt;E669,"JA",""))</f>
        <v/>
      </c>
    </row>
    <row r="670">
      <c r="A670">
        <f>IFERROR(INDEX(tblStellplatz[Stellplatz],ROW()-1),"")</f>
        <v/>
      </c>
      <c r="B670">
        <f>IFERROR(INDEX(tblStellplatz[SAP],ROW()-1),"")</f>
        <v/>
      </c>
      <c r="C670">
        <f>IF(B670="","",IFERROR(INDEX(tblMaterial[Bezeichnung],MATCH(B670,tblMaterial[SAP],0)),"?"))</f>
        <v/>
      </c>
      <c r="D670">
        <f>IF(B670="","",IFERROR(INDEX(tblMaterial[Lagerstand],MATCH(B670,tblMaterial[SAP],0)),"?"))</f>
        <v/>
      </c>
      <c r="E670">
        <f>IF(B670="","",IFERROR(INDEX(tblMaterial[Meldebestand],MATCH(B670,tblMaterial[SAP],0)),"?"))</f>
        <v/>
      </c>
      <c r="F670">
        <f>IF(OR(B670="",NOT(ISNUMBER(D670))),"",IF(D670&lt;E670,"JA",""))</f>
        <v/>
      </c>
    </row>
    <row r="671">
      <c r="A671">
        <f>IFERROR(INDEX(tblStellplatz[Stellplatz],ROW()-1),"")</f>
        <v/>
      </c>
      <c r="B671">
        <f>IFERROR(INDEX(tblStellplatz[SAP],ROW()-1),"")</f>
        <v/>
      </c>
      <c r="C671">
        <f>IF(B671="","",IFERROR(INDEX(tblMaterial[Bezeichnung],MATCH(B671,tblMaterial[SAP],0)),"?"))</f>
        <v/>
      </c>
      <c r="D671">
        <f>IF(B671="","",IFERROR(INDEX(tblMaterial[Lagerstand],MATCH(B671,tblMaterial[SAP],0)),"?"))</f>
        <v/>
      </c>
      <c r="E671">
        <f>IF(B671="","",IFERROR(INDEX(tblMaterial[Meldebestand],MATCH(B671,tblMaterial[SAP],0)),"?"))</f>
        <v/>
      </c>
      <c r="F671">
        <f>IF(OR(B671="",NOT(ISNUMBER(D671))),"",IF(D671&lt;E671,"JA",""))</f>
        <v/>
      </c>
    </row>
    <row r="672">
      <c r="A672">
        <f>IFERROR(INDEX(tblStellplatz[Stellplatz],ROW()-1),"")</f>
        <v/>
      </c>
      <c r="B672">
        <f>IFERROR(INDEX(tblStellplatz[SAP],ROW()-1),"")</f>
        <v/>
      </c>
      <c r="C672">
        <f>IF(B672="","",IFERROR(INDEX(tblMaterial[Bezeichnung],MATCH(B672,tblMaterial[SAP],0)),"?"))</f>
        <v/>
      </c>
      <c r="D672">
        <f>IF(B672="","",IFERROR(INDEX(tblMaterial[Lagerstand],MATCH(B672,tblMaterial[SAP],0)),"?"))</f>
        <v/>
      </c>
      <c r="E672">
        <f>IF(B672="","",IFERROR(INDEX(tblMaterial[Meldebestand],MATCH(B672,tblMaterial[SAP],0)),"?"))</f>
        <v/>
      </c>
      <c r="F672">
        <f>IF(OR(B672="",NOT(ISNUMBER(D672))),"",IF(D672&lt;E672,"JA",""))</f>
        <v/>
      </c>
    </row>
    <row r="673">
      <c r="A673">
        <f>IFERROR(INDEX(tblStellplatz[Stellplatz],ROW()-1),"")</f>
        <v/>
      </c>
      <c r="B673">
        <f>IFERROR(INDEX(tblStellplatz[SAP],ROW()-1),"")</f>
        <v/>
      </c>
      <c r="C673">
        <f>IF(B673="","",IFERROR(INDEX(tblMaterial[Bezeichnung],MATCH(B673,tblMaterial[SAP],0)),"?"))</f>
        <v/>
      </c>
      <c r="D673">
        <f>IF(B673="","",IFERROR(INDEX(tblMaterial[Lagerstand],MATCH(B673,tblMaterial[SAP],0)),"?"))</f>
        <v/>
      </c>
      <c r="E673">
        <f>IF(B673="","",IFERROR(INDEX(tblMaterial[Meldebestand],MATCH(B673,tblMaterial[SAP],0)),"?"))</f>
        <v/>
      </c>
      <c r="F673">
        <f>IF(OR(B673="",NOT(ISNUMBER(D673))),"",IF(D673&lt;E673,"JA",""))</f>
        <v/>
      </c>
    </row>
    <row r="674">
      <c r="A674">
        <f>IFERROR(INDEX(tblStellplatz[Stellplatz],ROW()-1),"")</f>
        <v/>
      </c>
      <c r="B674">
        <f>IFERROR(INDEX(tblStellplatz[SAP],ROW()-1),"")</f>
        <v/>
      </c>
      <c r="C674">
        <f>IF(B674="","",IFERROR(INDEX(tblMaterial[Bezeichnung],MATCH(B674,tblMaterial[SAP],0)),"?"))</f>
        <v/>
      </c>
      <c r="D674">
        <f>IF(B674="","",IFERROR(INDEX(tblMaterial[Lagerstand],MATCH(B674,tblMaterial[SAP],0)),"?"))</f>
        <v/>
      </c>
      <c r="E674">
        <f>IF(B674="","",IFERROR(INDEX(tblMaterial[Meldebestand],MATCH(B674,tblMaterial[SAP],0)),"?"))</f>
        <v/>
      </c>
      <c r="F674">
        <f>IF(OR(B674="",NOT(ISNUMBER(D674))),"",IF(D674&lt;E674,"JA",""))</f>
        <v/>
      </c>
    </row>
    <row r="675">
      <c r="A675">
        <f>IFERROR(INDEX(tblStellplatz[Stellplatz],ROW()-1),"")</f>
        <v/>
      </c>
      <c r="B675">
        <f>IFERROR(INDEX(tblStellplatz[SAP],ROW()-1),"")</f>
        <v/>
      </c>
      <c r="C675">
        <f>IF(B675="","",IFERROR(INDEX(tblMaterial[Bezeichnung],MATCH(B675,tblMaterial[SAP],0)),"?"))</f>
        <v/>
      </c>
      <c r="D675">
        <f>IF(B675="","",IFERROR(INDEX(tblMaterial[Lagerstand],MATCH(B675,tblMaterial[SAP],0)),"?"))</f>
        <v/>
      </c>
      <c r="E675">
        <f>IF(B675="","",IFERROR(INDEX(tblMaterial[Meldebestand],MATCH(B675,tblMaterial[SAP],0)),"?"))</f>
        <v/>
      </c>
      <c r="F675">
        <f>IF(OR(B675="",NOT(ISNUMBER(D675))),"",IF(D675&lt;E675,"JA",""))</f>
        <v/>
      </c>
    </row>
    <row r="676">
      <c r="A676">
        <f>IFERROR(INDEX(tblStellplatz[Stellplatz],ROW()-1),"")</f>
        <v/>
      </c>
      <c r="B676">
        <f>IFERROR(INDEX(tblStellplatz[SAP],ROW()-1),"")</f>
        <v/>
      </c>
      <c r="C676">
        <f>IF(B676="","",IFERROR(INDEX(tblMaterial[Bezeichnung],MATCH(B676,tblMaterial[SAP],0)),"?"))</f>
        <v/>
      </c>
      <c r="D676">
        <f>IF(B676="","",IFERROR(INDEX(tblMaterial[Lagerstand],MATCH(B676,tblMaterial[SAP],0)),"?"))</f>
        <v/>
      </c>
      <c r="E676">
        <f>IF(B676="","",IFERROR(INDEX(tblMaterial[Meldebestand],MATCH(B676,tblMaterial[SAP],0)),"?"))</f>
        <v/>
      </c>
      <c r="F676">
        <f>IF(OR(B676="",NOT(ISNUMBER(D676))),"",IF(D676&lt;E676,"JA",""))</f>
        <v/>
      </c>
    </row>
    <row r="677">
      <c r="A677">
        <f>IFERROR(INDEX(tblStellplatz[Stellplatz],ROW()-1),"")</f>
        <v/>
      </c>
      <c r="B677">
        <f>IFERROR(INDEX(tblStellplatz[SAP],ROW()-1),"")</f>
        <v/>
      </c>
      <c r="C677">
        <f>IF(B677="","",IFERROR(INDEX(tblMaterial[Bezeichnung],MATCH(B677,tblMaterial[SAP],0)),"?"))</f>
        <v/>
      </c>
      <c r="D677">
        <f>IF(B677="","",IFERROR(INDEX(tblMaterial[Lagerstand],MATCH(B677,tblMaterial[SAP],0)),"?"))</f>
        <v/>
      </c>
      <c r="E677">
        <f>IF(B677="","",IFERROR(INDEX(tblMaterial[Meldebestand],MATCH(B677,tblMaterial[SAP],0)),"?"))</f>
        <v/>
      </c>
      <c r="F677">
        <f>IF(OR(B677="",NOT(ISNUMBER(D677))),"",IF(D677&lt;E677,"JA",""))</f>
        <v/>
      </c>
    </row>
    <row r="678">
      <c r="A678">
        <f>IFERROR(INDEX(tblStellplatz[Stellplatz],ROW()-1),"")</f>
        <v/>
      </c>
      <c r="B678">
        <f>IFERROR(INDEX(tblStellplatz[SAP],ROW()-1),"")</f>
        <v/>
      </c>
      <c r="C678">
        <f>IF(B678="","",IFERROR(INDEX(tblMaterial[Bezeichnung],MATCH(B678,tblMaterial[SAP],0)),"?"))</f>
        <v/>
      </c>
      <c r="D678">
        <f>IF(B678="","",IFERROR(INDEX(tblMaterial[Lagerstand],MATCH(B678,tblMaterial[SAP],0)),"?"))</f>
        <v/>
      </c>
      <c r="E678">
        <f>IF(B678="","",IFERROR(INDEX(tblMaterial[Meldebestand],MATCH(B678,tblMaterial[SAP],0)),"?"))</f>
        <v/>
      </c>
      <c r="F678">
        <f>IF(OR(B678="",NOT(ISNUMBER(D678))),"",IF(D678&lt;E678,"JA",""))</f>
        <v/>
      </c>
    </row>
    <row r="679">
      <c r="A679">
        <f>IFERROR(INDEX(tblStellplatz[Stellplatz],ROW()-1),"")</f>
        <v/>
      </c>
      <c r="B679">
        <f>IFERROR(INDEX(tblStellplatz[SAP],ROW()-1),"")</f>
        <v/>
      </c>
      <c r="C679">
        <f>IF(B679="","",IFERROR(INDEX(tblMaterial[Bezeichnung],MATCH(B679,tblMaterial[SAP],0)),"?"))</f>
        <v/>
      </c>
      <c r="D679">
        <f>IF(B679="","",IFERROR(INDEX(tblMaterial[Lagerstand],MATCH(B679,tblMaterial[SAP],0)),"?"))</f>
        <v/>
      </c>
      <c r="E679">
        <f>IF(B679="","",IFERROR(INDEX(tblMaterial[Meldebestand],MATCH(B679,tblMaterial[SAP],0)),"?"))</f>
        <v/>
      </c>
      <c r="F679">
        <f>IF(OR(B679="",NOT(ISNUMBER(D679))),"",IF(D679&lt;E679,"JA",""))</f>
        <v/>
      </c>
    </row>
    <row r="680">
      <c r="A680">
        <f>IFERROR(INDEX(tblStellplatz[Stellplatz],ROW()-1),"")</f>
        <v/>
      </c>
      <c r="B680">
        <f>IFERROR(INDEX(tblStellplatz[SAP],ROW()-1),"")</f>
        <v/>
      </c>
      <c r="C680">
        <f>IF(B680="","",IFERROR(INDEX(tblMaterial[Bezeichnung],MATCH(B680,tblMaterial[SAP],0)),"?"))</f>
        <v/>
      </c>
      <c r="D680">
        <f>IF(B680="","",IFERROR(INDEX(tblMaterial[Lagerstand],MATCH(B680,tblMaterial[SAP],0)),"?"))</f>
        <v/>
      </c>
      <c r="E680">
        <f>IF(B680="","",IFERROR(INDEX(tblMaterial[Meldebestand],MATCH(B680,tblMaterial[SAP],0)),"?"))</f>
        <v/>
      </c>
      <c r="F680">
        <f>IF(OR(B680="",NOT(ISNUMBER(D680))),"",IF(D680&lt;E680,"JA",""))</f>
        <v/>
      </c>
    </row>
    <row r="681">
      <c r="A681">
        <f>IFERROR(INDEX(tblStellplatz[Stellplatz],ROW()-1),"")</f>
        <v/>
      </c>
      <c r="B681">
        <f>IFERROR(INDEX(tblStellplatz[SAP],ROW()-1),"")</f>
        <v/>
      </c>
      <c r="C681">
        <f>IF(B681="","",IFERROR(INDEX(tblMaterial[Bezeichnung],MATCH(B681,tblMaterial[SAP],0)),"?"))</f>
        <v/>
      </c>
      <c r="D681">
        <f>IF(B681="","",IFERROR(INDEX(tblMaterial[Lagerstand],MATCH(B681,tblMaterial[SAP],0)),"?"))</f>
        <v/>
      </c>
      <c r="E681">
        <f>IF(B681="","",IFERROR(INDEX(tblMaterial[Meldebestand],MATCH(B681,tblMaterial[SAP],0)),"?"))</f>
        <v/>
      </c>
      <c r="F681">
        <f>IF(OR(B681="",NOT(ISNUMBER(D681))),"",IF(D681&lt;E681,"JA",""))</f>
        <v/>
      </c>
    </row>
    <row r="682">
      <c r="A682">
        <f>IFERROR(INDEX(tblStellplatz[Stellplatz],ROW()-1),"")</f>
        <v/>
      </c>
      <c r="B682">
        <f>IFERROR(INDEX(tblStellplatz[SAP],ROW()-1),"")</f>
        <v/>
      </c>
      <c r="C682">
        <f>IF(B682="","",IFERROR(INDEX(tblMaterial[Bezeichnung],MATCH(B682,tblMaterial[SAP],0)),"?"))</f>
        <v/>
      </c>
      <c r="D682">
        <f>IF(B682="","",IFERROR(INDEX(tblMaterial[Lagerstand],MATCH(B682,tblMaterial[SAP],0)),"?"))</f>
        <v/>
      </c>
      <c r="E682">
        <f>IF(B682="","",IFERROR(INDEX(tblMaterial[Meldebestand],MATCH(B682,tblMaterial[SAP],0)),"?"))</f>
        <v/>
      </c>
      <c r="F682">
        <f>IF(OR(B682="",NOT(ISNUMBER(D682))),"",IF(D682&lt;E682,"JA",""))</f>
        <v/>
      </c>
    </row>
    <row r="683">
      <c r="A683">
        <f>IFERROR(INDEX(tblStellplatz[Stellplatz],ROW()-1),"")</f>
        <v/>
      </c>
      <c r="B683">
        <f>IFERROR(INDEX(tblStellplatz[SAP],ROW()-1),"")</f>
        <v/>
      </c>
      <c r="C683">
        <f>IF(B683="","",IFERROR(INDEX(tblMaterial[Bezeichnung],MATCH(B683,tblMaterial[SAP],0)),"?"))</f>
        <v/>
      </c>
      <c r="D683">
        <f>IF(B683="","",IFERROR(INDEX(tblMaterial[Lagerstand],MATCH(B683,tblMaterial[SAP],0)),"?"))</f>
        <v/>
      </c>
      <c r="E683">
        <f>IF(B683="","",IFERROR(INDEX(tblMaterial[Meldebestand],MATCH(B683,tblMaterial[SAP],0)),"?"))</f>
        <v/>
      </c>
      <c r="F683">
        <f>IF(OR(B683="",NOT(ISNUMBER(D683))),"",IF(D683&lt;E683,"JA",""))</f>
        <v/>
      </c>
    </row>
    <row r="684">
      <c r="A684">
        <f>IFERROR(INDEX(tblStellplatz[Stellplatz],ROW()-1),"")</f>
        <v/>
      </c>
      <c r="B684">
        <f>IFERROR(INDEX(tblStellplatz[SAP],ROW()-1),"")</f>
        <v/>
      </c>
      <c r="C684">
        <f>IF(B684="","",IFERROR(INDEX(tblMaterial[Bezeichnung],MATCH(B684,tblMaterial[SAP],0)),"?"))</f>
        <v/>
      </c>
      <c r="D684">
        <f>IF(B684="","",IFERROR(INDEX(tblMaterial[Lagerstand],MATCH(B684,tblMaterial[SAP],0)),"?"))</f>
        <v/>
      </c>
      <c r="E684">
        <f>IF(B684="","",IFERROR(INDEX(tblMaterial[Meldebestand],MATCH(B684,tblMaterial[SAP],0)),"?"))</f>
        <v/>
      </c>
      <c r="F684">
        <f>IF(OR(B684="",NOT(ISNUMBER(D684))),"",IF(D684&lt;E684,"JA",""))</f>
        <v/>
      </c>
    </row>
    <row r="685">
      <c r="A685">
        <f>IFERROR(INDEX(tblStellplatz[Stellplatz],ROW()-1),"")</f>
        <v/>
      </c>
      <c r="B685">
        <f>IFERROR(INDEX(tblStellplatz[SAP],ROW()-1),"")</f>
        <v/>
      </c>
      <c r="C685">
        <f>IF(B685="","",IFERROR(INDEX(tblMaterial[Bezeichnung],MATCH(B685,tblMaterial[SAP],0)),"?"))</f>
        <v/>
      </c>
      <c r="D685">
        <f>IF(B685="","",IFERROR(INDEX(tblMaterial[Lagerstand],MATCH(B685,tblMaterial[SAP],0)),"?"))</f>
        <v/>
      </c>
      <c r="E685">
        <f>IF(B685="","",IFERROR(INDEX(tblMaterial[Meldebestand],MATCH(B685,tblMaterial[SAP],0)),"?"))</f>
        <v/>
      </c>
      <c r="F685">
        <f>IF(OR(B685="",NOT(ISNUMBER(D685))),"",IF(D685&lt;E685,"JA",""))</f>
        <v/>
      </c>
    </row>
    <row r="686">
      <c r="A686">
        <f>IFERROR(INDEX(tblStellplatz[Stellplatz],ROW()-1),"")</f>
        <v/>
      </c>
      <c r="B686">
        <f>IFERROR(INDEX(tblStellplatz[SAP],ROW()-1),"")</f>
        <v/>
      </c>
      <c r="C686">
        <f>IF(B686="","",IFERROR(INDEX(tblMaterial[Bezeichnung],MATCH(B686,tblMaterial[SAP],0)),"?"))</f>
        <v/>
      </c>
      <c r="D686">
        <f>IF(B686="","",IFERROR(INDEX(tblMaterial[Lagerstand],MATCH(B686,tblMaterial[SAP],0)),"?"))</f>
        <v/>
      </c>
      <c r="E686">
        <f>IF(B686="","",IFERROR(INDEX(tblMaterial[Meldebestand],MATCH(B686,tblMaterial[SAP],0)),"?"))</f>
        <v/>
      </c>
      <c r="F686">
        <f>IF(OR(B686="",NOT(ISNUMBER(D686))),"",IF(D686&lt;E686,"JA",""))</f>
        <v/>
      </c>
    </row>
    <row r="687">
      <c r="A687">
        <f>IFERROR(INDEX(tblStellplatz[Stellplatz],ROW()-1),"")</f>
        <v/>
      </c>
      <c r="B687">
        <f>IFERROR(INDEX(tblStellplatz[SAP],ROW()-1),"")</f>
        <v/>
      </c>
      <c r="C687">
        <f>IF(B687="","",IFERROR(INDEX(tblMaterial[Bezeichnung],MATCH(B687,tblMaterial[SAP],0)),"?"))</f>
        <v/>
      </c>
      <c r="D687">
        <f>IF(B687="","",IFERROR(INDEX(tblMaterial[Lagerstand],MATCH(B687,tblMaterial[SAP],0)),"?"))</f>
        <v/>
      </c>
      <c r="E687">
        <f>IF(B687="","",IFERROR(INDEX(tblMaterial[Meldebestand],MATCH(B687,tblMaterial[SAP],0)),"?"))</f>
        <v/>
      </c>
      <c r="F687">
        <f>IF(OR(B687="",NOT(ISNUMBER(D687))),"",IF(D687&lt;E687,"JA",""))</f>
        <v/>
      </c>
    </row>
    <row r="688">
      <c r="A688">
        <f>IFERROR(INDEX(tblStellplatz[Stellplatz],ROW()-1),"")</f>
        <v/>
      </c>
      <c r="B688">
        <f>IFERROR(INDEX(tblStellplatz[SAP],ROW()-1),"")</f>
        <v/>
      </c>
      <c r="C688">
        <f>IF(B688="","",IFERROR(INDEX(tblMaterial[Bezeichnung],MATCH(B688,tblMaterial[SAP],0)),"?"))</f>
        <v/>
      </c>
      <c r="D688">
        <f>IF(B688="","",IFERROR(INDEX(tblMaterial[Lagerstand],MATCH(B688,tblMaterial[SAP],0)),"?"))</f>
        <v/>
      </c>
      <c r="E688">
        <f>IF(B688="","",IFERROR(INDEX(tblMaterial[Meldebestand],MATCH(B688,tblMaterial[SAP],0)),"?"))</f>
        <v/>
      </c>
      <c r="F688">
        <f>IF(OR(B688="",NOT(ISNUMBER(D688))),"",IF(D688&lt;E688,"JA",""))</f>
        <v/>
      </c>
    </row>
    <row r="689">
      <c r="A689">
        <f>IFERROR(INDEX(tblStellplatz[Stellplatz],ROW()-1),"")</f>
        <v/>
      </c>
      <c r="B689">
        <f>IFERROR(INDEX(tblStellplatz[SAP],ROW()-1),"")</f>
        <v/>
      </c>
      <c r="C689">
        <f>IF(B689="","",IFERROR(INDEX(tblMaterial[Bezeichnung],MATCH(B689,tblMaterial[SAP],0)),"?"))</f>
        <v/>
      </c>
      <c r="D689">
        <f>IF(B689="","",IFERROR(INDEX(tblMaterial[Lagerstand],MATCH(B689,tblMaterial[SAP],0)),"?"))</f>
        <v/>
      </c>
      <c r="E689">
        <f>IF(B689="","",IFERROR(INDEX(tblMaterial[Meldebestand],MATCH(B689,tblMaterial[SAP],0)),"?"))</f>
        <v/>
      </c>
      <c r="F689">
        <f>IF(OR(B689="",NOT(ISNUMBER(D689))),"",IF(D689&lt;E689,"JA",""))</f>
        <v/>
      </c>
    </row>
    <row r="690">
      <c r="A690">
        <f>IFERROR(INDEX(tblStellplatz[Stellplatz],ROW()-1),"")</f>
        <v/>
      </c>
      <c r="B690">
        <f>IFERROR(INDEX(tblStellplatz[SAP],ROW()-1),"")</f>
        <v/>
      </c>
      <c r="C690">
        <f>IF(B690="","",IFERROR(INDEX(tblMaterial[Bezeichnung],MATCH(B690,tblMaterial[SAP],0)),"?"))</f>
        <v/>
      </c>
      <c r="D690">
        <f>IF(B690="","",IFERROR(INDEX(tblMaterial[Lagerstand],MATCH(B690,tblMaterial[SAP],0)),"?"))</f>
        <v/>
      </c>
      <c r="E690">
        <f>IF(B690="","",IFERROR(INDEX(tblMaterial[Meldebestand],MATCH(B690,tblMaterial[SAP],0)),"?"))</f>
        <v/>
      </c>
      <c r="F690">
        <f>IF(OR(B690="",NOT(ISNUMBER(D690))),"",IF(D690&lt;E690,"JA",""))</f>
        <v/>
      </c>
    </row>
    <row r="691">
      <c r="A691">
        <f>IFERROR(INDEX(tblStellplatz[Stellplatz],ROW()-1),"")</f>
        <v/>
      </c>
      <c r="B691">
        <f>IFERROR(INDEX(tblStellplatz[SAP],ROW()-1),"")</f>
        <v/>
      </c>
      <c r="C691">
        <f>IF(B691="","",IFERROR(INDEX(tblMaterial[Bezeichnung],MATCH(B691,tblMaterial[SAP],0)),"?"))</f>
        <v/>
      </c>
      <c r="D691">
        <f>IF(B691="","",IFERROR(INDEX(tblMaterial[Lagerstand],MATCH(B691,tblMaterial[SAP],0)),"?"))</f>
        <v/>
      </c>
      <c r="E691">
        <f>IF(B691="","",IFERROR(INDEX(tblMaterial[Meldebestand],MATCH(B691,tblMaterial[SAP],0)),"?"))</f>
        <v/>
      </c>
      <c r="F691">
        <f>IF(OR(B691="",NOT(ISNUMBER(D691))),"",IF(D691&lt;E691,"JA",""))</f>
        <v/>
      </c>
    </row>
    <row r="692">
      <c r="A692">
        <f>IFERROR(INDEX(tblStellplatz[Stellplatz],ROW()-1),"")</f>
        <v/>
      </c>
      <c r="B692">
        <f>IFERROR(INDEX(tblStellplatz[SAP],ROW()-1),"")</f>
        <v/>
      </c>
      <c r="C692">
        <f>IF(B692="","",IFERROR(INDEX(tblMaterial[Bezeichnung],MATCH(B692,tblMaterial[SAP],0)),"?"))</f>
        <v/>
      </c>
      <c r="D692">
        <f>IF(B692="","",IFERROR(INDEX(tblMaterial[Lagerstand],MATCH(B692,tblMaterial[SAP],0)),"?"))</f>
        <v/>
      </c>
      <c r="E692">
        <f>IF(B692="","",IFERROR(INDEX(tblMaterial[Meldebestand],MATCH(B692,tblMaterial[SAP],0)),"?"))</f>
        <v/>
      </c>
      <c r="F692">
        <f>IF(OR(B692="",NOT(ISNUMBER(D692))),"",IF(D692&lt;E692,"JA",""))</f>
        <v/>
      </c>
    </row>
    <row r="693">
      <c r="A693">
        <f>IFERROR(INDEX(tblStellplatz[Stellplatz],ROW()-1),"")</f>
        <v/>
      </c>
      <c r="B693">
        <f>IFERROR(INDEX(tblStellplatz[SAP],ROW()-1),"")</f>
        <v/>
      </c>
      <c r="C693">
        <f>IF(B693="","",IFERROR(INDEX(tblMaterial[Bezeichnung],MATCH(B693,tblMaterial[SAP],0)),"?"))</f>
        <v/>
      </c>
      <c r="D693">
        <f>IF(B693="","",IFERROR(INDEX(tblMaterial[Lagerstand],MATCH(B693,tblMaterial[SAP],0)),"?"))</f>
        <v/>
      </c>
      <c r="E693">
        <f>IF(B693="","",IFERROR(INDEX(tblMaterial[Meldebestand],MATCH(B693,tblMaterial[SAP],0)),"?"))</f>
        <v/>
      </c>
      <c r="F693">
        <f>IF(OR(B693="",NOT(ISNUMBER(D693))),"",IF(D693&lt;E693,"JA",""))</f>
        <v/>
      </c>
    </row>
    <row r="694">
      <c r="A694">
        <f>IFERROR(INDEX(tblStellplatz[Stellplatz],ROW()-1),"")</f>
        <v/>
      </c>
      <c r="B694">
        <f>IFERROR(INDEX(tblStellplatz[SAP],ROW()-1),"")</f>
        <v/>
      </c>
      <c r="C694">
        <f>IF(B694="","",IFERROR(INDEX(tblMaterial[Bezeichnung],MATCH(B694,tblMaterial[SAP],0)),"?"))</f>
        <v/>
      </c>
      <c r="D694">
        <f>IF(B694="","",IFERROR(INDEX(tblMaterial[Lagerstand],MATCH(B694,tblMaterial[SAP],0)),"?"))</f>
        <v/>
      </c>
      <c r="E694">
        <f>IF(B694="","",IFERROR(INDEX(tblMaterial[Meldebestand],MATCH(B694,tblMaterial[SAP],0)),"?"))</f>
        <v/>
      </c>
      <c r="F694">
        <f>IF(OR(B694="",NOT(ISNUMBER(D694))),"",IF(D694&lt;E694,"JA",""))</f>
        <v/>
      </c>
    </row>
    <row r="695">
      <c r="A695">
        <f>IFERROR(INDEX(tblStellplatz[Stellplatz],ROW()-1),"")</f>
        <v/>
      </c>
      <c r="B695">
        <f>IFERROR(INDEX(tblStellplatz[SAP],ROW()-1),"")</f>
        <v/>
      </c>
      <c r="C695">
        <f>IF(B695="","",IFERROR(INDEX(tblMaterial[Bezeichnung],MATCH(B695,tblMaterial[SAP],0)),"?"))</f>
        <v/>
      </c>
      <c r="D695">
        <f>IF(B695="","",IFERROR(INDEX(tblMaterial[Lagerstand],MATCH(B695,tblMaterial[SAP],0)),"?"))</f>
        <v/>
      </c>
      <c r="E695">
        <f>IF(B695="","",IFERROR(INDEX(tblMaterial[Meldebestand],MATCH(B695,tblMaterial[SAP],0)),"?"))</f>
        <v/>
      </c>
      <c r="F695">
        <f>IF(OR(B695="",NOT(ISNUMBER(D695))),"",IF(D695&lt;E695,"JA",""))</f>
        <v/>
      </c>
    </row>
    <row r="696">
      <c r="A696">
        <f>IFERROR(INDEX(tblStellplatz[Stellplatz],ROW()-1),"")</f>
        <v/>
      </c>
      <c r="B696">
        <f>IFERROR(INDEX(tblStellplatz[SAP],ROW()-1),"")</f>
        <v/>
      </c>
      <c r="C696">
        <f>IF(B696="","",IFERROR(INDEX(tblMaterial[Bezeichnung],MATCH(B696,tblMaterial[SAP],0)),"?"))</f>
        <v/>
      </c>
      <c r="D696">
        <f>IF(B696="","",IFERROR(INDEX(tblMaterial[Lagerstand],MATCH(B696,tblMaterial[SAP],0)),"?"))</f>
        <v/>
      </c>
      <c r="E696">
        <f>IF(B696="","",IFERROR(INDEX(tblMaterial[Meldebestand],MATCH(B696,tblMaterial[SAP],0)),"?"))</f>
        <v/>
      </c>
      <c r="F696">
        <f>IF(OR(B696="",NOT(ISNUMBER(D696))),"",IF(D696&lt;E696,"JA",""))</f>
        <v/>
      </c>
    </row>
    <row r="697">
      <c r="A697">
        <f>IFERROR(INDEX(tblStellplatz[Stellplatz],ROW()-1),"")</f>
        <v/>
      </c>
      <c r="B697">
        <f>IFERROR(INDEX(tblStellplatz[SAP],ROW()-1),"")</f>
        <v/>
      </c>
      <c r="C697">
        <f>IF(B697="","",IFERROR(INDEX(tblMaterial[Bezeichnung],MATCH(B697,tblMaterial[SAP],0)),"?"))</f>
        <v/>
      </c>
      <c r="D697">
        <f>IF(B697="","",IFERROR(INDEX(tblMaterial[Lagerstand],MATCH(B697,tblMaterial[SAP],0)),"?"))</f>
        <v/>
      </c>
      <c r="E697">
        <f>IF(B697="","",IFERROR(INDEX(tblMaterial[Meldebestand],MATCH(B697,tblMaterial[SAP],0)),"?"))</f>
        <v/>
      </c>
      <c r="F697">
        <f>IF(OR(B697="",NOT(ISNUMBER(D697))),"",IF(D697&lt;E697,"JA",""))</f>
        <v/>
      </c>
    </row>
    <row r="698">
      <c r="A698">
        <f>IFERROR(INDEX(tblStellplatz[Stellplatz],ROW()-1),"")</f>
        <v/>
      </c>
      <c r="B698">
        <f>IFERROR(INDEX(tblStellplatz[SAP],ROW()-1),"")</f>
        <v/>
      </c>
      <c r="C698">
        <f>IF(B698="","",IFERROR(INDEX(tblMaterial[Bezeichnung],MATCH(B698,tblMaterial[SAP],0)),"?"))</f>
        <v/>
      </c>
      <c r="D698">
        <f>IF(B698="","",IFERROR(INDEX(tblMaterial[Lagerstand],MATCH(B698,tblMaterial[SAP],0)),"?"))</f>
        <v/>
      </c>
      <c r="E698">
        <f>IF(B698="","",IFERROR(INDEX(tblMaterial[Meldebestand],MATCH(B698,tblMaterial[SAP],0)),"?"))</f>
        <v/>
      </c>
      <c r="F698">
        <f>IF(OR(B698="",NOT(ISNUMBER(D698))),"",IF(D698&lt;E698,"JA",""))</f>
        <v/>
      </c>
    </row>
    <row r="699">
      <c r="A699">
        <f>IFERROR(INDEX(tblStellplatz[Stellplatz],ROW()-1),"")</f>
        <v/>
      </c>
      <c r="B699">
        <f>IFERROR(INDEX(tblStellplatz[SAP],ROW()-1),"")</f>
        <v/>
      </c>
      <c r="C699">
        <f>IF(B699="","",IFERROR(INDEX(tblMaterial[Bezeichnung],MATCH(B699,tblMaterial[SAP],0)),"?"))</f>
        <v/>
      </c>
      <c r="D699">
        <f>IF(B699="","",IFERROR(INDEX(tblMaterial[Lagerstand],MATCH(B699,tblMaterial[SAP],0)),"?"))</f>
        <v/>
      </c>
      <c r="E699">
        <f>IF(B699="","",IFERROR(INDEX(tblMaterial[Meldebestand],MATCH(B699,tblMaterial[SAP],0)),"?"))</f>
        <v/>
      </c>
      <c r="F699">
        <f>IF(OR(B699="",NOT(ISNUMBER(D699))),"",IF(D699&lt;E699,"JA",""))</f>
        <v/>
      </c>
    </row>
    <row r="700">
      <c r="A700">
        <f>IFERROR(INDEX(tblStellplatz[Stellplatz],ROW()-1),"")</f>
        <v/>
      </c>
      <c r="B700">
        <f>IFERROR(INDEX(tblStellplatz[SAP],ROW()-1),"")</f>
        <v/>
      </c>
      <c r="C700">
        <f>IF(B700="","",IFERROR(INDEX(tblMaterial[Bezeichnung],MATCH(B700,tblMaterial[SAP],0)),"?"))</f>
        <v/>
      </c>
      <c r="D700">
        <f>IF(B700="","",IFERROR(INDEX(tblMaterial[Lagerstand],MATCH(B700,tblMaterial[SAP],0)),"?"))</f>
        <v/>
      </c>
      <c r="E700">
        <f>IF(B700="","",IFERROR(INDEX(tblMaterial[Meldebestand],MATCH(B700,tblMaterial[SAP],0)),"?"))</f>
        <v/>
      </c>
      <c r="F700">
        <f>IF(OR(B700="",NOT(ISNUMBER(D700))),"",IF(D700&lt;E700,"JA",""))</f>
        <v/>
      </c>
    </row>
    <row r="701">
      <c r="A701">
        <f>IFERROR(INDEX(tblStellplatz[Stellplatz],ROW()-1),"")</f>
        <v/>
      </c>
      <c r="B701">
        <f>IFERROR(INDEX(tblStellplatz[SAP],ROW()-1),"")</f>
        <v/>
      </c>
      <c r="C701">
        <f>IF(B701="","",IFERROR(INDEX(tblMaterial[Bezeichnung],MATCH(B701,tblMaterial[SAP],0)),"?"))</f>
        <v/>
      </c>
      <c r="D701">
        <f>IF(B701="","",IFERROR(INDEX(tblMaterial[Lagerstand],MATCH(B701,tblMaterial[SAP],0)),"?"))</f>
        <v/>
      </c>
      <c r="E701">
        <f>IF(B701="","",IFERROR(INDEX(tblMaterial[Meldebestand],MATCH(B701,tblMaterial[SAP],0)),"?"))</f>
        <v/>
      </c>
      <c r="F701">
        <f>IF(OR(B701="",NOT(ISNUMBER(D701))),"",IF(D701&lt;E701,"JA",""))</f>
        <v/>
      </c>
    </row>
    <row r="702">
      <c r="A702">
        <f>IFERROR(INDEX(tblStellplatz[Stellplatz],ROW()-1),"")</f>
        <v/>
      </c>
      <c r="B702">
        <f>IFERROR(INDEX(tblStellplatz[SAP],ROW()-1),"")</f>
        <v/>
      </c>
      <c r="C702">
        <f>IF(B702="","",IFERROR(INDEX(tblMaterial[Bezeichnung],MATCH(B702,tblMaterial[SAP],0)),"?"))</f>
        <v/>
      </c>
      <c r="D702">
        <f>IF(B702="","",IFERROR(INDEX(tblMaterial[Lagerstand],MATCH(B702,tblMaterial[SAP],0)),"?"))</f>
        <v/>
      </c>
      <c r="E702">
        <f>IF(B702="","",IFERROR(INDEX(tblMaterial[Meldebestand],MATCH(B702,tblMaterial[SAP],0)),"?"))</f>
        <v/>
      </c>
      <c r="F702">
        <f>IF(OR(B702="",NOT(ISNUMBER(D702))),"",IF(D702&lt;E702,"JA",""))</f>
        <v/>
      </c>
    </row>
    <row r="703">
      <c r="A703">
        <f>IFERROR(INDEX(tblStellplatz[Stellplatz],ROW()-1),"")</f>
        <v/>
      </c>
      <c r="B703">
        <f>IFERROR(INDEX(tblStellplatz[SAP],ROW()-1),"")</f>
        <v/>
      </c>
      <c r="C703">
        <f>IF(B703="","",IFERROR(INDEX(tblMaterial[Bezeichnung],MATCH(B703,tblMaterial[SAP],0)),"?"))</f>
        <v/>
      </c>
      <c r="D703">
        <f>IF(B703="","",IFERROR(INDEX(tblMaterial[Lagerstand],MATCH(B703,tblMaterial[SAP],0)),"?"))</f>
        <v/>
      </c>
      <c r="E703">
        <f>IF(B703="","",IFERROR(INDEX(tblMaterial[Meldebestand],MATCH(B703,tblMaterial[SAP],0)),"?"))</f>
        <v/>
      </c>
      <c r="F703">
        <f>IF(OR(B703="",NOT(ISNUMBER(D703))),"",IF(D703&lt;E703,"JA",""))</f>
        <v/>
      </c>
    </row>
    <row r="704">
      <c r="A704">
        <f>IFERROR(INDEX(tblStellplatz[Stellplatz],ROW()-1),"")</f>
        <v/>
      </c>
      <c r="B704">
        <f>IFERROR(INDEX(tblStellplatz[SAP],ROW()-1),"")</f>
        <v/>
      </c>
      <c r="C704">
        <f>IF(B704="","",IFERROR(INDEX(tblMaterial[Bezeichnung],MATCH(B704,tblMaterial[SAP],0)),"?"))</f>
        <v/>
      </c>
      <c r="D704">
        <f>IF(B704="","",IFERROR(INDEX(tblMaterial[Lagerstand],MATCH(B704,tblMaterial[SAP],0)),"?"))</f>
        <v/>
      </c>
      <c r="E704">
        <f>IF(B704="","",IFERROR(INDEX(tblMaterial[Meldebestand],MATCH(B704,tblMaterial[SAP],0)),"?"))</f>
        <v/>
      </c>
      <c r="F704">
        <f>IF(OR(B704="",NOT(ISNUMBER(D704))),"",IF(D704&lt;E704,"JA",""))</f>
        <v/>
      </c>
    </row>
    <row r="705">
      <c r="A705">
        <f>IFERROR(INDEX(tblStellplatz[Stellplatz],ROW()-1),"")</f>
        <v/>
      </c>
      <c r="B705">
        <f>IFERROR(INDEX(tblStellplatz[SAP],ROW()-1),"")</f>
        <v/>
      </c>
      <c r="C705">
        <f>IF(B705="","",IFERROR(INDEX(tblMaterial[Bezeichnung],MATCH(B705,tblMaterial[SAP],0)),"?"))</f>
        <v/>
      </c>
      <c r="D705">
        <f>IF(B705="","",IFERROR(INDEX(tblMaterial[Lagerstand],MATCH(B705,tblMaterial[SAP],0)),"?"))</f>
        <v/>
      </c>
      <c r="E705">
        <f>IF(B705="","",IFERROR(INDEX(tblMaterial[Meldebestand],MATCH(B705,tblMaterial[SAP],0)),"?"))</f>
        <v/>
      </c>
      <c r="F705">
        <f>IF(OR(B705="",NOT(ISNUMBER(D705))),"",IF(D705&lt;E705,"JA",""))</f>
        <v/>
      </c>
    </row>
    <row r="706">
      <c r="A706">
        <f>IFERROR(INDEX(tblStellplatz[Stellplatz],ROW()-1),"")</f>
        <v/>
      </c>
      <c r="B706">
        <f>IFERROR(INDEX(tblStellplatz[SAP],ROW()-1),"")</f>
        <v/>
      </c>
      <c r="C706">
        <f>IF(B706="","",IFERROR(INDEX(tblMaterial[Bezeichnung],MATCH(B706,tblMaterial[SAP],0)),"?"))</f>
        <v/>
      </c>
      <c r="D706">
        <f>IF(B706="","",IFERROR(INDEX(tblMaterial[Lagerstand],MATCH(B706,tblMaterial[SAP],0)),"?"))</f>
        <v/>
      </c>
      <c r="E706">
        <f>IF(B706="","",IFERROR(INDEX(tblMaterial[Meldebestand],MATCH(B706,tblMaterial[SAP],0)),"?"))</f>
        <v/>
      </c>
      <c r="F706">
        <f>IF(OR(B706="",NOT(ISNUMBER(D706))),"",IF(D706&lt;E706,"JA",""))</f>
        <v/>
      </c>
    </row>
    <row r="707">
      <c r="A707">
        <f>IFERROR(INDEX(tblStellplatz[Stellplatz],ROW()-1),"")</f>
        <v/>
      </c>
      <c r="B707">
        <f>IFERROR(INDEX(tblStellplatz[SAP],ROW()-1),"")</f>
        <v/>
      </c>
      <c r="C707">
        <f>IF(B707="","",IFERROR(INDEX(tblMaterial[Bezeichnung],MATCH(B707,tblMaterial[SAP],0)),"?"))</f>
        <v/>
      </c>
      <c r="D707">
        <f>IF(B707="","",IFERROR(INDEX(tblMaterial[Lagerstand],MATCH(B707,tblMaterial[SAP],0)),"?"))</f>
        <v/>
      </c>
      <c r="E707">
        <f>IF(B707="","",IFERROR(INDEX(tblMaterial[Meldebestand],MATCH(B707,tblMaterial[SAP],0)),"?"))</f>
        <v/>
      </c>
      <c r="F707">
        <f>IF(OR(B707="",NOT(ISNUMBER(D707))),"",IF(D707&lt;E707,"JA",""))</f>
        <v/>
      </c>
    </row>
    <row r="708">
      <c r="A708">
        <f>IFERROR(INDEX(tblStellplatz[Stellplatz],ROW()-1),"")</f>
        <v/>
      </c>
      <c r="B708">
        <f>IFERROR(INDEX(tblStellplatz[SAP],ROW()-1),"")</f>
        <v/>
      </c>
      <c r="C708">
        <f>IF(B708="","",IFERROR(INDEX(tblMaterial[Bezeichnung],MATCH(B708,tblMaterial[SAP],0)),"?"))</f>
        <v/>
      </c>
      <c r="D708">
        <f>IF(B708="","",IFERROR(INDEX(tblMaterial[Lagerstand],MATCH(B708,tblMaterial[SAP],0)),"?"))</f>
        <v/>
      </c>
      <c r="E708">
        <f>IF(B708="","",IFERROR(INDEX(tblMaterial[Meldebestand],MATCH(B708,tblMaterial[SAP],0)),"?"))</f>
        <v/>
      </c>
      <c r="F708">
        <f>IF(OR(B708="",NOT(ISNUMBER(D708))),"",IF(D708&lt;E708,"JA",""))</f>
        <v/>
      </c>
    </row>
    <row r="709">
      <c r="A709">
        <f>IFERROR(INDEX(tblStellplatz[Stellplatz],ROW()-1),"")</f>
        <v/>
      </c>
      <c r="B709">
        <f>IFERROR(INDEX(tblStellplatz[SAP],ROW()-1),"")</f>
        <v/>
      </c>
      <c r="C709">
        <f>IF(B709="","",IFERROR(INDEX(tblMaterial[Bezeichnung],MATCH(B709,tblMaterial[SAP],0)),"?"))</f>
        <v/>
      </c>
      <c r="D709">
        <f>IF(B709="","",IFERROR(INDEX(tblMaterial[Lagerstand],MATCH(B709,tblMaterial[SAP],0)),"?"))</f>
        <v/>
      </c>
      <c r="E709">
        <f>IF(B709="","",IFERROR(INDEX(tblMaterial[Meldebestand],MATCH(B709,tblMaterial[SAP],0)),"?"))</f>
        <v/>
      </c>
      <c r="F709">
        <f>IF(OR(B709="",NOT(ISNUMBER(D709))),"",IF(D709&lt;E709,"JA",""))</f>
        <v/>
      </c>
    </row>
    <row r="710">
      <c r="A710">
        <f>IFERROR(INDEX(tblStellplatz[Stellplatz],ROW()-1),"")</f>
        <v/>
      </c>
      <c r="B710">
        <f>IFERROR(INDEX(tblStellplatz[SAP],ROW()-1),"")</f>
        <v/>
      </c>
      <c r="C710">
        <f>IF(B710="","",IFERROR(INDEX(tblMaterial[Bezeichnung],MATCH(B710,tblMaterial[SAP],0)),"?"))</f>
        <v/>
      </c>
      <c r="D710">
        <f>IF(B710="","",IFERROR(INDEX(tblMaterial[Lagerstand],MATCH(B710,tblMaterial[SAP],0)),"?"))</f>
        <v/>
      </c>
      <c r="E710">
        <f>IF(B710="","",IFERROR(INDEX(tblMaterial[Meldebestand],MATCH(B710,tblMaterial[SAP],0)),"?"))</f>
        <v/>
      </c>
      <c r="F710">
        <f>IF(OR(B710="",NOT(ISNUMBER(D710))),"",IF(D710&lt;E710,"JA",""))</f>
        <v/>
      </c>
    </row>
    <row r="711">
      <c r="A711">
        <f>IFERROR(INDEX(tblStellplatz[Stellplatz],ROW()-1),"")</f>
        <v/>
      </c>
      <c r="B711">
        <f>IFERROR(INDEX(tblStellplatz[SAP],ROW()-1),"")</f>
        <v/>
      </c>
      <c r="C711">
        <f>IF(B711="","",IFERROR(INDEX(tblMaterial[Bezeichnung],MATCH(B711,tblMaterial[SAP],0)),"?"))</f>
        <v/>
      </c>
      <c r="D711">
        <f>IF(B711="","",IFERROR(INDEX(tblMaterial[Lagerstand],MATCH(B711,tblMaterial[SAP],0)),"?"))</f>
        <v/>
      </c>
      <c r="E711">
        <f>IF(B711="","",IFERROR(INDEX(tblMaterial[Meldebestand],MATCH(B711,tblMaterial[SAP],0)),"?"))</f>
        <v/>
      </c>
      <c r="F711">
        <f>IF(OR(B711="",NOT(ISNUMBER(D711))),"",IF(D711&lt;E711,"JA",""))</f>
        <v/>
      </c>
    </row>
    <row r="712">
      <c r="A712">
        <f>IFERROR(INDEX(tblStellplatz[Stellplatz],ROW()-1),"")</f>
        <v/>
      </c>
      <c r="B712">
        <f>IFERROR(INDEX(tblStellplatz[SAP],ROW()-1),"")</f>
        <v/>
      </c>
      <c r="C712">
        <f>IF(B712="","",IFERROR(INDEX(tblMaterial[Bezeichnung],MATCH(B712,tblMaterial[SAP],0)),"?"))</f>
        <v/>
      </c>
      <c r="D712">
        <f>IF(B712="","",IFERROR(INDEX(tblMaterial[Lagerstand],MATCH(B712,tblMaterial[SAP],0)),"?"))</f>
        <v/>
      </c>
      <c r="E712">
        <f>IF(B712="","",IFERROR(INDEX(tblMaterial[Meldebestand],MATCH(B712,tblMaterial[SAP],0)),"?"))</f>
        <v/>
      </c>
      <c r="F712">
        <f>IF(OR(B712="",NOT(ISNUMBER(D712))),"",IF(D712&lt;E712,"JA",""))</f>
        <v/>
      </c>
    </row>
    <row r="713">
      <c r="A713">
        <f>IFERROR(INDEX(tblStellplatz[Stellplatz],ROW()-1),"")</f>
        <v/>
      </c>
      <c r="B713">
        <f>IFERROR(INDEX(tblStellplatz[SAP],ROW()-1),"")</f>
        <v/>
      </c>
      <c r="C713">
        <f>IF(B713="","",IFERROR(INDEX(tblMaterial[Bezeichnung],MATCH(B713,tblMaterial[SAP],0)),"?"))</f>
        <v/>
      </c>
      <c r="D713">
        <f>IF(B713="","",IFERROR(INDEX(tblMaterial[Lagerstand],MATCH(B713,tblMaterial[SAP],0)),"?"))</f>
        <v/>
      </c>
      <c r="E713">
        <f>IF(B713="","",IFERROR(INDEX(tblMaterial[Meldebestand],MATCH(B713,tblMaterial[SAP],0)),"?"))</f>
        <v/>
      </c>
      <c r="F713">
        <f>IF(OR(B713="",NOT(ISNUMBER(D713))),"",IF(D713&lt;E713,"JA",""))</f>
        <v/>
      </c>
    </row>
    <row r="714">
      <c r="A714">
        <f>IFERROR(INDEX(tblStellplatz[Stellplatz],ROW()-1),"")</f>
        <v/>
      </c>
      <c r="B714">
        <f>IFERROR(INDEX(tblStellplatz[SAP],ROW()-1),"")</f>
        <v/>
      </c>
      <c r="C714">
        <f>IF(B714="","",IFERROR(INDEX(tblMaterial[Bezeichnung],MATCH(B714,tblMaterial[SAP],0)),"?"))</f>
        <v/>
      </c>
      <c r="D714">
        <f>IF(B714="","",IFERROR(INDEX(tblMaterial[Lagerstand],MATCH(B714,tblMaterial[SAP],0)),"?"))</f>
        <v/>
      </c>
      <c r="E714">
        <f>IF(B714="","",IFERROR(INDEX(tblMaterial[Meldebestand],MATCH(B714,tblMaterial[SAP],0)),"?"))</f>
        <v/>
      </c>
      <c r="F714">
        <f>IF(OR(B714="",NOT(ISNUMBER(D714))),"",IF(D714&lt;E714,"JA",""))</f>
        <v/>
      </c>
    </row>
    <row r="715">
      <c r="A715">
        <f>IFERROR(INDEX(tblStellplatz[Stellplatz],ROW()-1),"")</f>
        <v/>
      </c>
      <c r="B715">
        <f>IFERROR(INDEX(tblStellplatz[SAP],ROW()-1),"")</f>
        <v/>
      </c>
      <c r="C715">
        <f>IF(B715="","",IFERROR(INDEX(tblMaterial[Bezeichnung],MATCH(B715,tblMaterial[SAP],0)),"?"))</f>
        <v/>
      </c>
      <c r="D715">
        <f>IF(B715="","",IFERROR(INDEX(tblMaterial[Lagerstand],MATCH(B715,tblMaterial[SAP],0)),"?"))</f>
        <v/>
      </c>
      <c r="E715">
        <f>IF(B715="","",IFERROR(INDEX(tblMaterial[Meldebestand],MATCH(B715,tblMaterial[SAP],0)),"?"))</f>
        <v/>
      </c>
      <c r="F715">
        <f>IF(OR(B715="",NOT(ISNUMBER(D715))),"",IF(D715&lt;E715,"JA",""))</f>
        <v/>
      </c>
    </row>
    <row r="716">
      <c r="A716">
        <f>IFERROR(INDEX(tblStellplatz[Stellplatz],ROW()-1),"")</f>
        <v/>
      </c>
      <c r="B716">
        <f>IFERROR(INDEX(tblStellplatz[SAP],ROW()-1),"")</f>
        <v/>
      </c>
      <c r="C716">
        <f>IF(B716="","",IFERROR(INDEX(tblMaterial[Bezeichnung],MATCH(B716,tblMaterial[SAP],0)),"?"))</f>
        <v/>
      </c>
      <c r="D716">
        <f>IF(B716="","",IFERROR(INDEX(tblMaterial[Lagerstand],MATCH(B716,tblMaterial[SAP],0)),"?"))</f>
        <v/>
      </c>
      <c r="E716">
        <f>IF(B716="","",IFERROR(INDEX(tblMaterial[Meldebestand],MATCH(B716,tblMaterial[SAP],0)),"?"))</f>
        <v/>
      </c>
      <c r="F716">
        <f>IF(OR(B716="",NOT(ISNUMBER(D716))),"",IF(D716&lt;E716,"JA",""))</f>
        <v/>
      </c>
    </row>
    <row r="717">
      <c r="A717">
        <f>IFERROR(INDEX(tblStellplatz[Stellplatz],ROW()-1),"")</f>
        <v/>
      </c>
      <c r="B717">
        <f>IFERROR(INDEX(tblStellplatz[SAP],ROW()-1),"")</f>
        <v/>
      </c>
      <c r="C717">
        <f>IF(B717="","",IFERROR(INDEX(tblMaterial[Bezeichnung],MATCH(B717,tblMaterial[SAP],0)),"?"))</f>
        <v/>
      </c>
      <c r="D717">
        <f>IF(B717="","",IFERROR(INDEX(tblMaterial[Lagerstand],MATCH(B717,tblMaterial[SAP],0)),"?"))</f>
        <v/>
      </c>
      <c r="E717">
        <f>IF(B717="","",IFERROR(INDEX(tblMaterial[Meldebestand],MATCH(B717,tblMaterial[SAP],0)),"?"))</f>
        <v/>
      </c>
      <c r="F717">
        <f>IF(OR(B717="",NOT(ISNUMBER(D717))),"",IF(D717&lt;E717,"JA",""))</f>
        <v/>
      </c>
    </row>
    <row r="718">
      <c r="A718">
        <f>IFERROR(INDEX(tblStellplatz[Stellplatz],ROW()-1),"")</f>
        <v/>
      </c>
      <c r="B718">
        <f>IFERROR(INDEX(tblStellplatz[SAP],ROW()-1),"")</f>
        <v/>
      </c>
      <c r="C718">
        <f>IF(B718="","",IFERROR(INDEX(tblMaterial[Bezeichnung],MATCH(B718,tblMaterial[SAP],0)),"?"))</f>
        <v/>
      </c>
      <c r="D718">
        <f>IF(B718="","",IFERROR(INDEX(tblMaterial[Lagerstand],MATCH(B718,tblMaterial[SAP],0)),"?"))</f>
        <v/>
      </c>
      <c r="E718">
        <f>IF(B718="","",IFERROR(INDEX(tblMaterial[Meldebestand],MATCH(B718,tblMaterial[SAP],0)),"?"))</f>
        <v/>
      </c>
      <c r="F718">
        <f>IF(OR(B718="",NOT(ISNUMBER(D718))),"",IF(D718&lt;E718,"JA",""))</f>
        <v/>
      </c>
    </row>
    <row r="719">
      <c r="A719">
        <f>IFERROR(INDEX(tblStellplatz[Stellplatz],ROW()-1),"")</f>
        <v/>
      </c>
      <c r="B719">
        <f>IFERROR(INDEX(tblStellplatz[SAP],ROW()-1),"")</f>
        <v/>
      </c>
      <c r="C719">
        <f>IF(B719="","",IFERROR(INDEX(tblMaterial[Bezeichnung],MATCH(B719,tblMaterial[SAP],0)),"?"))</f>
        <v/>
      </c>
      <c r="D719">
        <f>IF(B719="","",IFERROR(INDEX(tblMaterial[Lagerstand],MATCH(B719,tblMaterial[SAP],0)),"?"))</f>
        <v/>
      </c>
      <c r="E719">
        <f>IF(B719="","",IFERROR(INDEX(tblMaterial[Meldebestand],MATCH(B719,tblMaterial[SAP],0)),"?"))</f>
        <v/>
      </c>
      <c r="F719">
        <f>IF(OR(B719="",NOT(ISNUMBER(D719))),"",IF(D719&lt;E719,"JA",""))</f>
        <v/>
      </c>
    </row>
    <row r="720">
      <c r="A720">
        <f>IFERROR(INDEX(tblStellplatz[Stellplatz],ROW()-1),"")</f>
        <v/>
      </c>
      <c r="B720">
        <f>IFERROR(INDEX(tblStellplatz[SAP],ROW()-1),"")</f>
        <v/>
      </c>
      <c r="C720">
        <f>IF(B720="","",IFERROR(INDEX(tblMaterial[Bezeichnung],MATCH(B720,tblMaterial[SAP],0)),"?"))</f>
        <v/>
      </c>
      <c r="D720">
        <f>IF(B720="","",IFERROR(INDEX(tblMaterial[Lagerstand],MATCH(B720,tblMaterial[SAP],0)),"?"))</f>
        <v/>
      </c>
      <c r="E720">
        <f>IF(B720="","",IFERROR(INDEX(tblMaterial[Meldebestand],MATCH(B720,tblMaterial[SAP],0)),"?"))</f>
        <v/>
      </c>
      <c r="F720">
        <f>IF(OR(B720="",NOT(ISNUMBER(D720))),"",IF(D720&lt;E720,"JA",""))</f>
        <v/>
      </c>
    </row>
    <row r="721">
      <c r="A721">
        <f>IFERROR(INDEX(tblStellplatz[Stellplatz],ROW()-1),"")</f>
        <v/>
      </c>
      <c r="B721">
        <f>IFERROR(INDEX(tblStellplatz[SAP],ROW()-1),"")</f>
        <v/>
      </c>
      <c r="C721">
        <f>IF(B721="","",IFERROR(INDEX(tblMaterial[Bezeichnung],MATCH(B721,tblMaterial[SAP],0)),"?"))</f>
        <v/>
      </c>
      <c r="D721">
        <f>IF(B721="","",IFERROR(INDEX(tblMaterial[Lagerstand],MATCH(B721,tblMaterial[SAP],0)),"?"))</f>
        <v/>
      </c>
      <c r="E721">
        <f>IF(B721="","",IFERROR(INDEX(tblMaterial[Meldebestand],MATCH(B721,tblMaterial[SAP],0)),"?"))</f>
        <v/>
      </c>
      <c r="F721">
        <f>IF(OR(B721="",NOT(ISNUMBER(D721))),"",IF(D721&lt;E721,"JA",""))</f>
        <v/>
      </c>
    </row>
    <row r="722">
      <c r="A722">
        <f>IFERROR(INDEX(tblStellplatz[Stellplatz],ROW()-1),"")</f>
        <v/>
      </c>
      <c r="B722">
        <f>IFERROR(INDEX(tblStellplatz[SAP],ROW()-1),"")</f>
        <v/>
      </c>
      <c r="C722">
        <f>IF(B722="","",IFERROR(INDEX(tblMaterial[Bezeichnung],MATCH(B722,tblMaterial[SAP],0)),"?"))</f>
        <v/>
      </c>
      <c r="D722">
        <f>IF(B722="","",IFERROR(INDEX(tblMaterial[Lagerstand],MATCH(B722,tblMaterial[SAP],0)),"?"))</f>
        <v/>
      </c>
      <c r="E722">
        <f>IF(B722="","",IFERROR(INDEX(tblMaterial[Meldebestand],MATCH(B722,tblMaterial[SAP],0)),"?"))</f>
        <v/>
      </c>
      <c r="F722">
        <f>IF(OR(B722="",NOT(ISNUMBER(D722))),"",IF(D722&lt;E722,"JA",""))</f>
        <v/>
      </c>
    </row>
    <row r="723">
      <c r="A723">
        <f>IFERROR(INDEX(tblStellplatz[Stellplatz],ROW()-1),"")</f>
        <v/>
      </c>
      <c r="B723">
        <f>IFERROR(INDEX(tblStellplatz[SAP],ROW()-1),"")</f>
        <v/>
      </c>
      <c r="C723">
        <f>IF(B723="","",IFERROR(INDEX(tblMaterial[Bezeichnung],MATCH(B723,tblMaterial[SAP],0)),"?"))</f>
        <v/>
      </c>
      <c r="D723">
        <f>IF(B723="","",IFERROR(INDEX(tblMaterial[Lagerstand],MATCH(B723,tblMaterial[SAP],0)),"?"))</f>
        <v/>
      </c>
      <c r="E723">
        <f>IF(B723="","",IFERROR(INDEX(tblMaterial[Meldebestand],MATCH(B723,tblMaterial[SAP],0)),"?"))</f>
        <v/>
      </c>
      <c r="F723">
        <f>IF(OR(B723="",NOT(ISNUMBER(D723))),"",IF(D723&lt;E723,"JA",""))</f>
        <v/>
      </c>
    </row>
    <row r="724">
      <c r="A724">
        <f>IFERROR(INDEX(tblStellplatz[Stellplatz],ROW()-1),"")</f>
        <v/>
      </c>
      <c r="B724">
        <f>IFERROR(INDEX(tblStellplatz[SAP],ROW()-1),"")</f>
        <v/>
      </c>
      <c r="C724">
        <f>IF(B724="","",IFERROR(INDEX(tblMaterial[Bezeichnung],MATCH(B724,tblMaterial[SAP],0)),"?"))</f>
        <v/>
      </c>
      <c r="D724">
        <f>IF(B724="","",IFERROR(INDEX(tblMaterial[Lagerstand],MATCH(B724,tblMaterial[SAP],0)),"?"))</f>
        <v/>
      </c>
      <c r="E724">
        <f>IF(B724="","",IFERROR(INDEX(tblMaterial[Meldebestand],MATCH(B724,tblMaterial[SAP],0)),"?"))</f>
        <v/>
      </c>
      <c r="F724">
        <f>IF(OR(B724="",NOT(ISNUMBER(D724))),"",IF(D724&lt;E724,"JA",""))</f>
        <v/>
      </c>
    </row>
    <row r="725">
      <c r="A725">
        <f>IFERROR(INDEX(tblStellplatz[Stellplatz],ROW()-1),"")</f>
        <v/>
      </c>
      <c r="B725">
        <f>IFERROR(INDEX(tblStellplatz[SAP],ROW()-1),"")</f>
        <v/>
      </c>
      <c r="C725">
        <f>IF(B725="","",IFERROR(INDEX(tblMaterial[Bezeichnung],MATCH(B725,tblMaterial[SAP],0)),"?"))</f>
        <v/>
      </c>
      <c r="D725">
        <f>IF(B725="","",IFERROR(INDEX(tblMaterial[Lagerstand],MATCH(B725,tblMaterial[SAP],0)),"?"))</f>
        <v/>
      </c>
      <c r="E725">
        <f>IF(B725="","",IFERROR(INDEX(tblMaterial[Meldebestand],MATCH(B725,tblMaterial[SAP],0)),"?"))</f>
        <v/>
      </c>
      <c r="F725">
        <f>IF(OR(B725="",NOT(ISNUMBER(D725))),"",IF(D725&lt;E725,"JA",""))</f>
        <v/>
      </c>
    </row>
    <row r="726">
      <c r="A726">
        <f>IFERROR(INDEX(tblStellplatz[Stellplatz],ROW()-1),"")</f>
        <v/>
      </c>
      <c r="B726">
        <f>IFERROR(INDEX(tblStellplatz[SAP],ROW()-1),"")</f>
        <v/>
      </c>
      <c r="C726">
        <f>IF(B726="","",IFERROR(INDEX(tblMaterial[Bezeichnung],MATCH(B726,tblMaterial[SAP],0)),"?"))</f>
        <v/>
      </c>
      <c r="D726">
        <f>IF(B726="","",IFERROR(INDEX(tblMaterial[Lagerstand],MATCH(B726,tblMaterial[SAP],0)),"?"))</f>
        <v/>
      </c>
      <c r="E726">
        <f>IF(B726="","",IFERROR(INDEX(tblMaterial[Meldebestand],MATCH(B726,tblMaterial[SAP],0)),"?"))</f>
        <v/>
      </c>
      <c r="F726">
        <f>IF(OR(B726="",NOT(ISNUMBER(D726))),"",IF(D726&lt;E726,"JA",""))</f>
        <v/>
      </c>
    </row>
    <row r="727">
      <c r="A727">
        <f>IFERROR(INDEX(tblStellplatz[Stellplatz],ROW()-1),"")</f>
        <v/>
      </c>
      <c r="B727">
        <f>IFERROR(INDEX(tblStellplatz[SAP],ROW()-1),"")</f>
        <v/>
      </c>
      <c r="C727">
        <f>IF(B727="","",IFERROR(INDEX(tblMaterial[Bezeichnung],MATCH(B727,tblMaterial[SAP],0)),"?"))</f>
        <v/>
      </c>
      <c r="D727">
        <f>IF(B727="","",IFERROR(INDEX(tblMaterial[Lagerstand],MATCH(B727,tblMaterial[SAP],0)),"?"))</f>
        <v/>
      </c>
      <c r="E727">
        <f>IF(B727="","",IFERROR(INDEX(tblMaterial[Meldebestand],MATCH(B727,tblMaterial[SAP],0)),"?"))</f>
        <v/>
      </c>
      <c r="F727">
        <f>IF(OR(B727="",NOT(ISNUMBER(D727))),"",IF(D727&lt;E727,"JA",""))</f>
        <v/>
      </c>
    </row>
    <row r="728">
      <c r="A728">
        <f>IFERROR(INDEX(tblStellplatz[Stellplatz],ROW()-1),"")</f>
        <v/>
      </c>
      <c r="B728">
        <f>IFERROR(INDEX(tblStellplatz[SAP],ROW()-1),"")</f>
        <v/>
      </c>
      <c r="C728">
        <f>IF(B728="","",IFERROR(INDEX(tblMaterial[Bezeichnung],MATCH(B728,tblMaterial[SAP],0)),"?"))</f>
        <v/>
      </c>
      <c r="D728">
        <f>IF(B728="","",IFERROR(INDEX(tblMaterial[Lagerstand],MATCH(B728,tblMaterial[SAP],0)),"?"))</f>
        <v/>
      </c>
      <c r="E728">
        <f>IF(B728="","",IFERROR(INDEX(tblMaterial[Meldebestand],MATCH(B728,tblMaterial[SAP],0)),"?"))</f>
        <v/>
      </c>
      <c r="F728">
        <f>IF(OR(B728="",NOT(ISNUMBER(D728))),"",IF(D728&lt;E728,"JA",""))</f>
        <v/>
      </c>
    </row>
    <row r="729">
      <c r="A729">
        <f>IFERROR(INDEX(tblStellplatz[Stellplatz],ROW()-1),"")</f>
        <v/>
      </c>
      <c r="B729">
        <f>IFERROR(INDEX(tblStellplatz[SAP],ROW()-1),"")</f>
        <v/>
      </c>
      <c r="C729">
        <f>IF(B729="","",IFERROR(INDEX(tblMaterial[Bezeichnung],MATCH(B729,tblMaterial[SAP],0)),"?"))</f>
        <v/>
      </c>
      <c r="D729">
        <f>IF(B729="","",IFERROR(INDEX(tblMaterial[Lagerstand],MATCH(B729,tblMaterial[SAP],0)),"?"))</f>
        <v/>
      </c>
      <c r="E729">
        <f>IF(B729="","",IFERROR(INDEX(tblMaterial[Meldebestand],MATCH(B729,tblMaterial[SAP],0)),"?"))</f>
        <v/>
      </c>
      <c r="F729">
        <f>IF(OR(B729="",NOT(ISNUMBER(D729))),"",IF(D729&lt;E729,"JA",""))</f>
        <v/>
      </c>
    </row>
    <row r="730">
      <c r="A730">
        <f>IFERROR(INDEX(tblStellplatz[Stellplatz],ROW()-1),"")</f>
        <v/>
      </c>
      <c r="B730">
        <f>IFERROR(INDEX(tblStellplatz[SAP],ROW()-1),"")</f>
        <v/>
      </c>
      <c r="C730">
        <f>IF(B730="","",IFERROR(INDEX(tblMaterial[Bezeichnung],MATCH(B730,tblMaterial[SAP],0)),"?"))</f>
        <v/>
      </c>
      <c r="D730">
        <f>IF(B730="","",IFERROR(INDEX(tblMaterial[Lagerstand],MATCH(B730,tblMaterial[SAP],0)),"?"))</f>
        <v/>
      </c>
      <c r="E730">
        <f>IF(B730="","",IFERROR(INDEX(tblMaterial[Meldebestand],MATCH(B730,tblMaterial[SAP],0)),"?"))</f>
        <v/>
      </c>
      <c r="F730">
        <f>IF(OR(B730="",NOT(ISNUMBER(D730))),"",IF(D730&lt;E730,"JA",""))</f>
        <v/>
      </c>
    </row>
    <row r="731">
      <c r="A731">
        <f>IFERROR(INDEX(tblStellplatz[Stellplatz],ROW()-1),"")</f>
        <v/>
      </c>
      <c r="B731">
        <f>IFERROR(INDEX(tblStellplatz[SAP],ROW()-1),"")</f>
        <v/>
      </c>
      <c r="C731">
        <f>IF(B731="","",IFERROR(INDEX(tblMaterial[Bezeichnung],MATCH(B731,tblMaterial[SAP],0)),"?"))</f>
        <v/>
      </c>
      <c r="D731">
        <f>IF(B731="","",IFERROR(INDEX(tblMaterial[Lagerstand],MATCH(B731,tblMaterial[SAP],0)),"?"))</f>
        <v/>
      </c>
      <c r="E731">
        <f>IF(B731="","",IFERROR(INDEX(tblMaterial[Meldebestand],MATCH(B731,tblMaterial[SAP],0)),"?"))</f>
        <v/>
      </c>
      <c r="F731">
        <f>IF(OR(B731="",NOT(ISNUMBER(D731))),"",IF(D731&lt;E731,"JA",""))</f>
        <v/>
      </c>
    </row>
    <row r="732">
      <c r="A732">
        <f>IFERROR(INDEX(tblStellplatz[Stellplatz],ROW()-1),"")</f>
        <v/>
      </c>
      <c r="B732">
        <f>IFERROR(INDEX(tblStellplatz[SAP],ROW()-1),"")</f>
        <v/>
      </c>
      <c r="C732">
        <f>IF(B732="","",IFERROR(INDEX(tblMaterial[Bezeichnung],MATCH(B732,tblMaterial[SAP],0)),"?"))</f>
        <v/>
      </c>
      <c r="D732">
        <f>IF(B732="","",IFERROR(INDEX(tblMaterial[Lagerstand],MATCH(B732,tblMaterial[SAP],0)),"?"))</f>
        <v/>
      </c>
      <c r="E732">
        <f>IF(B732="","",IFERROR(INDEX(tblMaterial[Meldebestand],MATCH(B732,tblMaterial[SAP],0)),"?"))</f>
        <v/>
      </c>
      <c r="F732">
        <f>IF(OR(B732="",NOT(ISNUMBER(D732))),"",IF(D732&lt;E732,"JA",""))</f>
        <v/>
      </c>
    </row>
    <row r="733">
      <c r="A733">
        <f>IFERROR(INDEX(tblStellplatz[Stellplatz],ROW()-1),"")</f>
        <v/>
      </c>
      <c r="B733">
        <f>IFERROR(INDEX(tblStellplatz[SAP],ROW()-1),"")</f>
        <v/>
      </c>
      <c r="C733">
        <f>IF(B733="","",IFERROR(INDEX(tblMaterial[Bezeichnung],MATCH(B733,tblMaterial[SAP],0)),"?"))</f>
        <v/>
      </c>
      <c r="D733">
        <f>IF(B733="","",IFERROR(INDEX(tblMaterial[Lagerstand],MATCH(B733,tblMaterial[SAP],0)),"?"))</f>
        <v/>
      </c>
      <c r="E733">
        <f>IF(B733="","",IFERROR(INDEX(tblMaterial[Meldebestand],MATCH(B733,tblMaterial[SAP],0)),"?"))</f>
        <v/>
      </c>
      <c r="F733">
        <f>IF(OR(B733="",NOT(ISNUMBER(D733))),"",IF(D733&lt;E733,"JA",""))</f>
        <v/>
      </c>
    </row>
    <row r="734">
      <c r="A734">
        <f>IFERROR(INDEX(tblStellplatz[Stellplatz],ROW()-1),"")</f>
        <v/>
      </c>
      <c r="B734">
        <f>IFERROR(INDEX(tblStellplatz[SAP],ROW()-1),"")</f>
        <v/>
      </c>
      <c r="C734">
        <f>IF(B734="","",IFERROR(INDEX(tblMaterial[Bezeichnung],MATCH(B734,tblMaterial[SAP],0)),"?"))</f>
        <v/>
      </c>
      <c r="D734">
        <f>IF(B734="","",IFERROR(INDEX(tblMaterial[Lagerstand],MATCH(B734,tblMaterial[SAP],0)),"?"))</f>
        <v/>
      </c>
      <c r="E734">
        <f>IF(B734="","",IFERROR(INDEX(tblMaterial[Meldebestand],MATCH(B734,tblMaterial[SAP],0)),"?"))</f>
        <v/>
      </c>
      <c r="F734">
        <f>IF(OR(B734="",NOT(ISNUMBER(D734))),"",IF(D734&lt;E734,"JA",""))</f>
        <v/>
      </c>
    </row>
    <row r="735">
      <c r="A735">
        <f>IFERROR(INDEX(tblStellplatz[Stellplatz],ROW()-1),"")</f>
        <v/>
      </c>
      <c r="B735">
        <f>IFERROR(INDEX(tblStellplatz[SAP],ROW()-1),"")</f>
        <v/>
      </c>
      <c r="C735">
        <f>IF(B735="","",IFERROR(INDEX(tblMaterial[Bezeichnung],MATCH(B735,tblMaterial[SAP],0)),"?"))</f>
        <v/>
      </c>
      <c r="D735">
        <f>IF(B735="","",IFERROR(INDEX(tblMaterial[Lagerstand],MATCH(B735,tblMaterial[SAP],0)),"?"))</f>
        <v/>
      </c>
      <c r="E735">
        <f>IF(B735="","",IFERROR(INDEX(tblMaterial[Meldebestand],MATCH(B735,tblMaterial[SAP],0)),"?"))</f>
        <v/>
      </c>
      <c r="F735">
        <f>IF(OR(B735="",NOT(ISNUMBER(D735))),"",IF(D735&lt;E735,"JA",""))</f>
        <v/>
      </c>
    </row>
    <row r="736">
      <c r="A736">
        <f>IFERROR(INDEX(tblStellplatz[Stellplatz],ROW()-1),"")</f>
        <v/>
      </c>
      <c r="B736">
        <f>IFERROR(INDEX(tblStellplatz[SAP],ROW()-1),"")</f>
        <v/>
      </c>
      <c r="C736">
        <f>IF(B736="","",IFERROR(INDEX(tblMaterial[Bezeichnung],MATCH(B736,tblMaterial[SAP],0)),"?"))</f>
        <v/>
      </c>
      <c r="D736">
        <f>IF(B736="","",IFERROR(INDEX(tblMaterial[Lagerstand],MATCH(B736,tblMaterial[SAP],0)),"?"))</f>
        <v/>
      </c>
      <c r="E736">
        <f>IF(B736="","",IFERROR(INDEX(tblMaterial[Meldebestand],MATCH(B736,tblMaterial[SAP],0)),"?"))</f>
        <v/>
      </c>
      <c r="F736">
        <f>IF(OR(B736="",NOT(ISNUMBER(D736))),"",IF(D736&lt;E736,"JA",""))</f>
        <v/>
      </c>
    </row>
    <row r="737">
      <c r="A737">
        <f>IFERROR(INDEX(tblStellplatz[Stellplatz],ROW()-1),"")</f>
        <v/>
      </c>
      <c r="B737">
        <f>IFERROR(INDEX(tblStellplatz[SAP],ROW()-1),"")</f>
        <v/>
      </c>
      <c r="C737">
        <f>IF(B737="","",IFERROR(INDEX(tblMaterial[Bezeichnung],MATCH(B737,tblMaterial[SAP],0)),"?"))</f>
        <v/>
      </c>
      <c r="D737">
        <f>IF(B737="","",IFERROR(INDEX(tblMaterial[Lagerstand],MATCH(B737,tblMaterial[SAP],0)),"?"))</f>
        <v/>
      </c>
      <c r="E737">
        <f>IF(B737="","",IFERROR(INDEX(tblMaterial[Meldebestand],MATCH(B737,tblMaterial[SAP],0)),"?"))</f>
        <v/>
      </c>
      <c r="F737">
        <f>IF(OR(B737="",NOT(ISNUMBER(D737))),"",IF(D737&lt;E737,"JA",""))</f>
        <v/>
      </c>
    </row>
    <row r="738">
      <c r="A738">
        <f>IFERROR(INDEX(tblStellplatz[Stellplatz],ROW()-1),"")</f>
        <v/>
      </c>
      <c r="B738">
        <f>IFERROR(INDEX(tblStellplatz[SAP],ROW()-1),"")</f>
        <v/>
      </c>
      <c r="C738">
        <f>IF(B738="","",IFERROR(INDEX(tblMaterial[Bezeichnung],MATCH(B738,tblMaterial[SAP],0)),"?"))</f>
        <v/>
      </c>
      <c r="D738">
        <f>IF(B738="","",IFERROR(INDEX(tblMaterial[Lagerstand],MATCH(B738,tblMaterial[SAP],0)),"?"))</f>
        <v/>
      </c>
      <c r="E738">
        <f>IF(B738="","",IFERROR(INDEX(tblMaterial[Meldebestand],MATCH(B738,tblMaterial[SAP],0)),"?"))</f>
        <v/>
      </c>
      <c r="F738">
        <f>IF(OR(B738="",NOT(ISNUMBER(D738))),"",IF(D738&lt;E738,"JA",""))</f>
        <v/>
      </c>
    </row>
    <row r="739">
      <c r="A739">
        <f>IFERROR(INDEX(tblStellplatz[Stellplatz],ROW()-1),"")</f>
        <v/>
      </c>
      <c r="B739">
        <f>IFERROR(INDEX(tblStellplatz[SAP],ROW()-1),"")</f>
        <v/>
      </c>
      <c r="C739">
        <f>IF(B739="","",IFERROR(INDEX(tblMaterial[Bezeichnung],MATCH(B739,tblMaterial[SAP],0)),"?"))</f>
        <v/>
      </c>
      <c r="D739">
        <f>IF(B739="","",IFERROR(INDEX(tblMaterial[Lagerstand],MATCH(B739,tblMaterial[SAP],0)),"?"))</f>
        <v/>
      </c>
      <c r="E739">
        <f>IF(B739="","",IFERROR(INDEX(tblMaterial[Meldebestand],MATCH(B739,tblMaterial[SAP],0)),"?"))</f>
        <v/>
      </c>
      <c r="F739">
        <f>IF(OR(B739="",NOT(ISNUMBER(D739))),"",IF(D739&lt;E739,"JA",""))</f>
        <v/>
      </c>
    </row>
    <row r="740">
      <c r="A740">
        <f>IFERROR(INDEX(tblStellplatz[Stellplatz],ROW()-1),"")</f>
        <v/>
      </c>
      <c r="B740">
        <f>IFERROR(INDEX(tblStellplatz[SAP],ROW()-1),"")</f>
        <v/>
      </c>
      <c r="C740">
        <f>IF(B740="","",IFERROR(INDEX(tblMaterial[Bezeichnung],MATCH(B740,tblMaterial[SAP],0)),"?"))</f>
        <v/>
      </c>
      <c r="D740">
        <f>IF(B740="","",IFERROR(INDEX(tblMaterial[Lagerstand],MATCH(B740,tblMaterial[SAP],0)),"?"))</f>
        <v/>
      </c>
      <c r="E740">
        <f>IF(B740="","",IFERROR(INDEX(tblMaterial[Meldebestand],MATCH(B740,tblMaterial[SAP],0)),"?"))</f>
        <v/>
      </c>
      <c r="F740">
        <f>IF(OR(B740="",NOT(ISNUMBER(D740))),"",IF(D740&lt;E740,"JA",""))</f>
        <v/>
      </c>
    </row>
    <row r="741">
      <c r="A741">
        <f>IFERROR(INDEX(tblStellplatz[Stellplatz],ROW()-1),"")</f>
        <v/>
      </c>
      <c r="B741">
        <f>IFERROR(INDEX(tblStellplatz[SAP],ROW()-1),"")</f>
        <v/>
      </c>
      <c r="C741">
        <f>IF(B741="","",IFERROR(INDEX(tblMaterial[Bezeichnung],MATCH(B741,tblMaterial[SAP],0)),"?"))</f>
        <v/>
      </c>
      <c r="D741">
        <f>IF(B741="","",IFERROR(INDEX(tblMaterial[Lagerstand],MATCH(B741,tblMaterial[SAP],0)),"?"))</f>
        <v/>
      </c>
      <c r="E741">
        <f>IF(B741="","",IFERROR(INDEX(tblMaterial[Meldebestand],MATCH(B741,tblMaterial[SAP],0)),"?"))</f>
        <v/>
      </c>
      <c r="F741">
        <f>IF(OR(B741="",NOT(ISNUMBER(D741))),"",IF(D741&lt;E741,"JA",""))</f>
        <v/>
      </c>
    </row>
    <row r="742">
      <c r="A742">
        <f>IFERROR(INDEX(tblStellplatz[Stellplatz],ROW()-1),"")</f>
        <v/>
      </c>
      <c r="B742">
        <f>IFERROR(INDEX(tblStellplatz[SAP],ROW()-1),"")</f>
        <v/>
      </c>
      <c r="C742">
        <f>IF(B742="","",IFERROR(INDEX(tblMaterial[Bezeichnung],MATCH(B742,tblMaterial[SAP],0)),"?"))</f>
        <v/>
      </c>
      <c r="D742">
        <f>IF(B742="","",IFERROR(INDEX(tblMaterial[Lagerstand],MATCH(B742,tblMaterial[SAP],0)),"?"))</f>
        <v/>
      </c>
      <c r="E742">
        <f>IF(B742="","",IFERROR(INDEX(tblMaterial[Meldebestand],MATCH(B742,tblMaterial[SAP],0)),"?"))</f>
        <v/>
      </c>
      <c r="F742">
        <f>IF(OR(B742="",NOT(ISNUMBER(D742))),"",IF(D742&lt;E742,"JA",""))</f>
        <v/>
      </c>
    </row>
    <row r="743">
      <c r="A743">
        <f>IFERROR(INDEX(tblStellplatz[Stellplatz],ROW()-1),"")</f>
        <v/>
      </c>
      <c r="B743">
        <f>IFERROR(INDEX(tblStellplatz[SAP],ROW()-1),"")</f>
        <v/>
      </c>
      <c r="C743">
        <f>IF(B743="","",IFERROR(INDEX(tblMaterial[Bezeichnung],MATCH(B743,tblMaterial[SAP],0)),"?"))</f>
        <v/>
      </c>
      <c r="D743">
        <f>IF(B743="","",IFERROR(INDEX(tblMaterial[Lagerstand],MATCH(B743,tblMaterial[SAP],0)),"?"))</f>
        <v/>
      </c>
      <c r="E743">
        <f>IF(B743="","",IFERROR(INDEX(tblMaterial[Meldebestand],MATCH(B743,tblMaterial[SAP],0)),"?"))</f>
        <v/>
      </c>
      <c r="F743">
        <f>IF(OR(B743="",NOT(ISNUMBER(D743))),"",IF(D743&lt;E743,"JA",""))</f>
        <v/>
      </c>
    </row>
    <row r="744">
      <c r="A744">
        <f>IFERROR(INDEX(tblStellplatz[Stellplatz],ROW()-1),"")</f>
        <v/>
      </c>
      <c r="B744">
        <f>IFERROR(INDEX(tblStellplatz[SAP],ROW()-1),"")</f>
        <v/>
      </c>
      <c r="C744">
        <f>IF(B744="","",IFERROR(INDEX(tblMaterial[Bezeichnung],MATCH(B744,tblMaterial[SAP],0)),"?"))</f>
        <v/>
      </c>
      <c r="D744">
        <f>IF(B744="","",IFERROR(INDEX(tblMaterial[Lagerstand],MATCH(B744,tblMaterial[SAP],0)),"?"))</f>
        <v/>
      </c>
      <c r="E744">
        <f>IF(B744="","",IFERROR(INDEX(tblMaterial[Meldebestand],MATCH(B744,tblMaterial[SAP],0)),"?"))</f>
        <v/>
      </c>
      <c r="F744">
        <f>IF(OR(B744="",NOT(ISNUMBER(D744))),"",IF(D744&lt;E744,"JA",""))</f>
        <v/>
      </c>
    </row>
    <row r="745">
      <c r="A745">
        <f>IFERROR(INDEX(tblStellplatz[Stellplatz],ROW()-1),"")</f>
        <v/>
      </c>
      <c r="B745">
        <f>IFERROR(INDEX(tblStellplatz[SAP],ROW()-1),"")</f>
        <v/>
      </c>
      <c r="C745">
        <f>IF(B745="","",IFERROR(INDEX(tblMaterial[Bezeichnung],MATCH(B745,tblMaterial[SAP],0)),"?"))</f>
        <v/>
      </c>
      <c r="D745">
        <f>IF(B745="","",IFERROR(INDEX(tblMaterial[Lagerstand],MATCH(B745,tblMaterial[SAP],0)),"?"))</f>
        <v/>
      </c>
      <c r="E745">
        <f>IF(B745="","",IFERROR(INDEX(tblMaterial[Meldebestand],MATCH(B745,tblMaterial[SAP],0)),"?"))</f>
        <v/>
      </c>
      <c r="F745">
        <f>IF(OR(B745="",NOT(ISNUMBER(D745))),"",IF(D745&lt;E745,"JA",""))</f>
        <v/>
      </c>
    </row>
    <row r="746">
      <c r="A746">
        <f>IFERROR(INDEX(tblStellplatz[Stellplatz],ROW()-1),"")</f>
        <v/>
      </c>
      <c r="B746">
        <f>IFERROR(INDEX(tblStellplatz[SAP],ROW()-1),"")</f>
        <v/>
      </c>
      <c r="C746">
        <f>IF(B746="","",IFERROR(INDEX(tblMaterial[Bezeichnung],MATCH(B746,tblMaterial[SAP],0)),"?"))</f>
        <v/>
      </c>
      <c r="D746">
        <f>IF(B746="","",IFERROR(INDEX(tblMaterial[Lagerstand],MATCH(B746,tblMaterial[SAP],0)),"?"))</f>
        <v/>
      </c>
      <c r="E746">
        <f>IF(B746="","",IFERROR(INDEX(tblMaterial[Meldebestand],MATCH(B746,tblMaterial[SAP],0)),"?"))</f>
        <v/>
      </c>
      <c r="F746">
        <f>IF(OR(B746="",NOT(ISNUMBER(D746))),"",IF(D746&lt;E746,"JA",""))</f>
        <v/>
      </c>
    </row>
    <row r="747">
      <c r="A747">
        <f>IFERROR(INDEX(tblStellplatz[Stellplatz],ROW()-1),"")</f>
        <v/>
      </c>
      <c r="B747">
        <f>IFERROR(INDEX(tblStellplatz[SAP],ROW()-1),"")</f>
        <v/>
      </c>
      <c r="C747">
        <f>IF(B747="","",IFERROR(INDEX(tblMaterial[Bezeichnung],MATCH(B747,tblMaterial[SAP],0)),"?"))</f>
        <v/>
      </c>
      <c r="D747">
        <f>IF(B747="","",IFERROR(INDEX(tblMaterial[Lagerstand],MATCH(B747,tblMaterial[SAP],0)),"?"))</f>
        <v/>
      </c>
      <c r="E747">
        <f>IF(B747="","",IFERROR(INDEX(tblMaterial[Meldebestand],MATCH(B747,tblMaterial[SAP],0)),"?"))</f>
        <v/>
      </c>
      <c r="F747">
        <f>IF(OR(B747="",NOT(ISNUMBER(D747))),"",IF(D747&lt;E747,"JA",""))</f>
        <v/>
      </c>
    </row>
    <row r="748">
      <c r="A748">
        <f>IFERROR(INDEX(tblStellplatz[Stellplatz],ROW()-1),"")</f>
        <v/>
      </c>
      <c r="B748">
        <f>IFERROR(INDEX(tblStellplatz[SAP],ROW()-1),"")</f>
        <v/>
      </c>
      <c r="C748">
        <f>IF(B748="","",IFERROR(INDEX(tblMaterial[Bezeichnung],MATCH(B748,tblMaterial[SAP],0)),"?"))</f>
        <v/>
      </c>
      <c r="D748">
        <f>IF(B748="","",IFERROR(INDEX(tblMaterial[Lagerstand],MATCH(B748,tblMaterial[SAP],0)),"?"))</f>
        <v/>
      </c>
      <c r="E748">
        <f>IF(B748="","",IFERROR(INDEX(tblMaterial[Meldebestand],MATCH(B748,tblMaterial[SAP],0)),"?"))</f>
        <v/>
      </c>
      <c r="F748">
        <f>IF(OR(B748="",NOT(ISNUMBER(D748))),"",IF(D748&lt;E748,"JA",""))</f>
        <v/>
      </c>
    </row>
    <row r="749">
      <c r="A749">
        <f>IFERROR(INDEX(tblStellplatz[Stellplatz],ROW()-1),"")</f>
        <v/>
      </c>
      <c r="B749">
        <f>IFERROR(INDEX(tblStellplatz[SAP],ROW()-1),"")</f>
        <v/>
      </c>
      <c r="C749">
        <f>IF(B749="","",IFERROR(INDEX(tblMaterial[Bezeichnung],MATCH(B749,tblMaterial[SAP],0)),"?"))</f>
        <v/>
      </c>
      <c r="D749">
        <f>IF(B749="","",IFERROR(INDEX(tblMaterial[Lagerstand],MATCH(B749,tblMaterial[SAP],0)),"?"))</f>
        <v/>
      </c>
      <c r="E749">
        <f>IF(B749="","",IFERROR(INDEX(tblMaterial[Meldebestand],MATCH(B749,tblMaterial[SAP],0)),"?"))</f>
        <v/>
      </c>
      <c r="F749">
        <f>IF(OR(B749="",NOT(ISNUMBER(D749))),"",IF(D749&lt;E749,"JA",""))</f>
        <v/>
      </c>
    </row>
    <row r="750">
      <c r="A750">
        <f>IFERROR(INDEX(tblStellplatz[Stellplatz],ROW()-1),"")</f>
        <v/>
      </c>
      <c r="B750">
        <f>IFERROR(INDEX(tblStellplatz[SAP],ROW()-1),"")</f>
        <v/>
      </c>
      <c r="C750">
        <f>IF(B750="","",IFERROR(INDEX(tblMaterial[Bezeichnung],MATCH(B750,tblMaterial[SAP],0)),"?"))</f>
        <v/>
      </c>
      <c r="D750">
        <f>IF(B750="","",IFERROR(INDEX(tblMaterial[Lagerstand],MATCH(B750,tblMaterial[SAP],0)),"?"))</f>
        <v/>
      </c>
      <c r="E750">
        <f>IF(B750="","",IFERROR(INDEX(tblMaterial[Meldebestand],MATCH(B750,tblMaterial[SAP],0)),"?"))</f>
        <v/>
      </c>
      <c r="F750">
        <f>IF(OR(B750="",NOT(ISNUMBER(D750))),"",IF(D750&lt;E750,"JA",""))</f>
        <v/>
      </c>
    </row>
    <row r="751">
      <c r="A751">
        <f>IFERROR(INDEX(tblStellplatz[Stellplatz],ROW()-1),"")</f>
        <v/>
      </c>
      <c r="B751">
        <f>IFERROR(INDEX(tblStellplatz[SAP],ROW()-1),"")</f>
        <v/>
      </c>
      <c r="C751">
        <f>IF(B751="","",IFERROR(INDEX(tblMaterial[Bezeichnung],MATCH(B751,tblMaterial[SAP],0)),"?"))</f>
        <v/>
      </c>
      <c r="D751">
        <f>IF(B751="","",IFERROR(INDEX(tblMaterial[Lagerstand],MATCH(B751,tblMaterial[SAP],0)),"?"))</f>
        <v/>
      </c>
      <c r="E751">
        <f>IF(B751="","",IFERROR(INDEX(tblMaterial[Meldebestand],MATCH(B751,tblMaterial[SAP],0)),"?"))</f>
        <v/>
      </c>
      <c r="F751">
        <f>IF(OR(B751="",NOT(ISNUMBER(D751))),"",IF(D751&lt;E751,"JA",""))</f>
        <v/>
      </c>
    </row>
    <row r="752">
      <c r="A752">
        <f>IFERROR(INDEX(tblStellplatz[Stellplatz],ROW()-1),"")</f>
        <v/>
      </c>
      <c r="B752">
        <f>IFERROR(INDEX(tblStellplatz[SAP],ROW()-1),"")</f>
        <v/>
      </c>
      <c r="C752">
        <f>IF(B752="","",IFERROR(INDEX(tblMaterial[Bezeichnung],MATCH(B752,tblMaterial[SAP],0)),"?"))</f>
        <v/>
      </c>
      <c r="D752">
        <f>IF(B752="","",IFERROR(INDEX(tblMaterial[Lagerstand],MATCH(B752,tblMaterial[SAP],0)),"?"))</f>
        <v/>
      </c>
      <c r="E752">
        <f>IF(B752="","",IFERROR(INDEX(tblMaterial[Meldebestand],MATCH(B752,tblMaterial[SAP],0)),"?"))</f>
        <v/>
      </c>
      <c r="F752">
        <f>IF(OR(B752="",NOT(ISNUMBER(D752))),"",IF(D752&lt;E752,"JA",""))</f>
        <v/>
      </c>
    </row>
    <row r="753">
      <c r="A753">
        <f>IFERROR(INDEX(tblStellplatz[Stellplatz],ROW()-1),"")</f>
        <v/>
      </c>
      <c r="B753">
        <f>IFERROR(INDEX(tblStellplatz[SAP],ROW()-1),"")</f>
        <v/>
      </c>
      <c r="C753">
        <f>IF(B753="","",IFERROR(INDEX(tblMaterial[Bezeichnung],MATCH(B753,tblMaterial[SAP],0)),"?"))</f>
        <v/>
      </c>
      <c r="D753">
        <f>IF(B753="","",IFERROR(INDEX(tblMaterial[Lagerstand],MATCH(B753,tblMaterial[SAP],0)),"?"))</f>
        <v/>
      </c>
      <c r="E753">
        <f>IF(B753="","",IFERROR(INDEX(tblMaterial[Meldebestand],MATCH(B753,tblMaterial[SAP],0)),"?"))</f>
        <v/>
      </c>
      <c r="F753">
        <f>IF(OR(B753="",NOT(ISNUMBER(D753))),"",IF(D753&lt;E753,"JA",""))</f>
        <v/>
      </c>
    </row>
    <row r="754">
      <c r="A754">
        <f>IFERROR(INDEX(tblStellplatz[Stellplatz],ROW()-1),"")</f>
        <v/>
      </c>
      <c r="B754">
        <f>IFERROR(INDEX(tblStellplatz[SAP],ROW()-1),"")</f>
        <v/>
      </c>
      <c r="C754">
        <f>IF(B754="","",IFERROR(INDEX(tblMaterial[Bezeichnung],MATCH(B754,tblMaterial[SAP],0)),"?"))</f>
        <v/>
      </c>
      <c r="D754">
        <f>IF(B754="","",IFERROR(INDEX(tblMaterial[Lagerstand],MATCH(B754,tblMaterial[SAP],0)),"?"))</f>
        <v/>
      </c>
      <c r="E754">
        <f>IF(B754="","",IFERROR(INDEX(tblMaterial[Meldebestand],MATCH(B754,tblMaterial[SAP],0)),"?"))</f>
        <v/>
      </c>
      <c r="F754">
        <f>IF(OR(B754="",NOT(ISNUMBER(D754))),"",IF(D754&lt;E754,"JA",""))</f>
        <v/>
      </c>
    </row>
    <row r="755">
      <c r="A755">
        <f>IFERROR(INDEX(tblStellplatz[Stellplatz],ROW()-1),"")</f>
        <v/>
      </c>
      <c r="B755">
        <f>IFERROR(INDEX(tblStellplatz[SAP],ROW()-1),"")</f>
        <v/>
      </c>
      <c r="C755">
        <f>IF(B755="","",IFERROR(INDEX(tblMaterial[Bezeichnung],MATCH(B755,tblMaterial[SAP],0)),"?"))</f>
        <v/>
      </c>
      <c r="D755">
        <f>IF(B755="","",IFERROR(INDEX(tblMaterial[Lagerstand],MATCH(B755,tblMaterial[SAP],0)),"?"))</f>
        <v/>
      </c>
      <c r="E755">
        <f>IF(B755="","",IFERROR(INDEX(tblMaterial[Meldebestand],MATCH(B755,tblMaterial[SAP],0)),"?"))</f>
        <v/>
      </c>
      <c r="F755">
        <f>IF(OR(B755="",NOT(ISNUMBER(D755))),"",IF(D755&lt;E755,"JA",""))</f>
        <v/>
      </c>
    </row>
    <row r="756">
      <c r="A756">
        <f>IFERROR(INDEX(tblStellplatz[Stellplatz],ROW()-1),"")</f>
        <v/>
      </c>
      <c r="B756">
        <f>IFERROR(INDEX(tblStellplatz[SAP],ROW()-1),"")</f>
        <v/>
      </c>
      <c r="C756">
        <f>IF(B756="","",IFERROR(INDEX(tblMaterial[Bezeichnung],MATCH(B756,tblMaterial[SAP],0)),"?"))</f>
        <v/>
      </c>
      <c r="D756">
        <f>IF(B756="","",IFERROR(INDEX(tblMaterial[Lagerstand],MATCH(B756,tblMaterial[SAP],0)),"?"))</f>
        <v/>
      </c>
      <c r="E756">
        <f>IF(B756="","",IFERROR(INDEX(tblMaterial[Meldebestand],MATCH(B756,tblMaterial[SAP],0)),"?"))</f>
        <v/>
      </c>
      <c r="F756">
        <f>IF(OR(B756="",NOT(ISNUMBER(D756))),"",IF(D756&lt;E756,"JA",""))</f>
        <v/>
      </c>
    </row>
    <row r="757">
      <c r="A757">
        <f>IFERROR(INDEX(tblStellplatz[Stellplatz],ROW()-1),"")</f>
        <v/>
      </c>
      <c r="B757">
        <f>IFERROR(INDEX(tblStellplatz[SAP],ROW()-1),"")</f>
        <v/>
      </c>
      <c r="C757">
        <f>IF(B757="","",IFERROR(INDEX(tblMaterial[Bezeichnung],MATCH(B757,tblMaterial[SAP],0)),"?"))</f>
        <v/>
      </c>
      <c r="D757">
        <f>IF(B757="","",IFERROR(INDEX(tblMaterial[Lagerstand],MATCH(B757,tblMaterial[SAP],0)),"?"))</f>
        <v/>
      </c>
      <c r="E757">
        <f>IF(B757="","",IFERROR(INDEX(tblMaterial[Meldebestand],MATCH(B757,tblMaterial[SAP],0)),"?"))</f>
        <v/>
      </c>
      <c r="F757">
        <f>IF(OR(B757="",NOT(ISNUMBER(D757))),"",IF(D757&lt;E757,"JA",""))</f>
        <v/>
      </c>
    </row>
    <row r="758">
      <c r="A758">
        <f>IFERROR(INDEX(tblStellplatz[Stellplatz],ROW()-1),"")</f>
        <v/>
      </c>
      <c r="B758">
        <f>IFERROR(INDEX(tblStellplatz[SAP],ROW()-1),"")</f>
        <v/>
      </c>
      <c r="C758">
        <f>IF(B758="","",IFERROR(INDEX(tblMaterial[Bezeichnung],MATCH(B758,tblMaterial[SAP],0)),"?"))</f>
        <v/>
      </c>
      <c r="D758">
        <f>IF(B758="","",IFERROR(INDEX(tblMaterial[Lagerstand],MATCH(B758,tblMaterial[SAP],0)),"?"))</f>
        <v/>
      </c>
      <c r="E758">
        <f>IF(B758="","",IFERROR(INDEX(tblMaterial[Meldebestand],MATCH(B758,tblMaterial[SAP],0)),"?"))</f>
        <v/>
      </c>
      <c r="F758">
        <f>IF(OR(B758="",NOT(ISNUMBER(D758))),"",IF(D758&lt;E758,"JA",""))</f>
        <v/>
      </c>
    </row>
    <row r="759">
      <c r="A759">
        <f>IFERROR(INDEX(tblStellplatz[Stellplatz],ROW()-1),"")</f>
        <v/>
      </c>
      <c r="B759">
        <f>IFERROR(INDEX(tblStellplatz[SAP],ROW()-1),"")</f>
        <v/>
      </c>
      <c r="C759">
        <f>IF(B759="","",IFERROR(INDEX(tblMaterial[Bezeichnung],MATCH(B759,tblMaterial[SAP],0)),"?"))</f>
        <v/>
      </c>
      <c r="D759">
        <f>IF(B759="","",IFERROR(INDEX(tblMaterial[Lagerstand],MATCH(B759,tblMaterial[SAP],0)),"?"))</f>
        <v/>
      </c>
      <c r="E759">
        <f>IF(B759="","",IFERROR(INDEX(tblMaterial[Meldebestand],MATCH(B759,tblMaterial[SAP],0)),"?"))</f>
        <v/>
      </c>
      <c r="F759">
        <f>IF(OR(B759="",NOT(ISNUMBER(D759))),"",IF(D759&lt;E759,"JA",""))</f>
        <v/>
      </c>
    </row>
    <row r="760">
      <c r="A760">
        <f>IFERROR(INDEX(tblStellplatz[Stellplatz],ROW()-1),"")</f>
        <v/>
      </c>
      <c r="B760">
        <f>IFERROR(INDEX(tblStellplatz[SAP],ROW()-1),"")</f>
        <v/>
      </c>
      <c r="C760">
        <f>IF(B760="","",IFERROR(INDEX(tblMaterial[Bezeichnung],MATCH(B760,tblMaterial[SAP],0)),"?"))</f>
        <v/>
      </c>
      <c r="D760">
        <f>IF(B760="","",IFERROR(INDEX(tblMaterial[Lagerstand],MATCH(B760,tblMaterial[SAP],0)),"?"))</f>
        <v/>
      </c>
      <c r="E760">
        <f>IF(B760="","",IFERROR(INDEX(tblMaterial[Meldebestand],MATCH(B760,tblMaterial[SAP],0)),"?"))</f>
        <v/>
      </c>
      <c r="F760">
        <f>IF(OR(B760="",NOT(ISNUMBER(D760))),"",IF(D760&lt;E760,"JA",""))</f>
        <v/>
      </c>
    </row>
    <row r="761">
      <c r="A761">
        <f>IFERROR(INDEX(tblStellplatz[Stellplatz],ROW()-1),"")</f>
        <v/>
      </c>
      <c r="B761">
        <f>IFERROR(INDEX(tblStellplatz[SAP],ROW()-1),"")</f>
        <v/>
      </c>
      <c r="C761">
        <f>IF(B761="","",IFERROR(INDEX(tblMaterial[Bezeichnung],MATCH(B761,tblMaterial[SAP],0)),"?"))</f>
        <v/>
      </c>
      <c r="D761">
        <f>IF(B761="","",IFERROR(INDEX(tblMaterial[Lagerstand],MATCH(B761,tblMaterial[SAP],0)),"?"))</f>
        <v/>
      </c>
      <c r="E761">
        <f>IF(B761="","",IFERROR(INDEX(tblMaterial[Meldebestand],MATCH(B761,tblMaterial[SAP],0)),"?"))</f>
        <v/>
      </c>
      <c r="F761">
        <f>IF(OR(B761="",NOT(ISNUMBER(D761))),"",IF(D761&lt;E761,"JA",""))</f>
        <v/>
      </c>
    </row>
    <row r="762">
      <c r="A762">
        <f>IFERROR(INDEX(tblStellplatz[Stellplatz],ROW()-1),"")</f>
        <v/>
      </c>
      <c r="B762">
        <f>IFERROR(INDEX(tblStellplatz[SAP],ROW()-1),"")</f>
        <v/>
      </c>
      <c r="C762">
        <f>IF(B762="","",IFERROR(INDEX(tblMaterial[Bezeichnung],MATCH(B762,tblMaterial[SAP],0)),"?"))</f>
        <v/>
      </c>
      <c r="D762">
        <f>IF(B762="","",IFERROR(INDEX(tblMaterial[Lagerstand],MATCH(B762,tblMaterial[SAP],0)),"?"))</f>
        <v/>
      </c>
      <c r="E762">
        <f>IF(B762="","",IFERROR(INDEX(tblMaterial[Meldebestand],MATCH(B762,tblMaterial[SAP],0)),"?"))</f>
        <v/>
      </c>
      <c r="F762">
        <f>IF(OR(B762="",NOT(ISNUMBER(D762))),"",IF(D762&lt;E762,"JA",""))</f>
        <v/>
      </c>
    </row>
    <row r="763">
      <c r="A763">
        <f>IFERROR(INDEX(tblStellplatz[Stellplatz],ROW()-1),"")</f>
        <v/>
      </c>
      <c r="B763">
        <f>IFERROR(INDEX(tblStellplatz[SAP],ROW()-1),"")</f>
        <v/>
      </c>
      <c r="C763">
        <f>IF(B763="","",IFERROR(INDEX(tblMaterial[Bezeichnung],MATCH(B763,tblMaterial[SAP],0)),"?"))</f>
        <v/>
      </c>
      <c r="D763">
        <f>IF(B763="","",IFERROR(INDEX(tblMaterial[Lagerstand],MATCH(B763,tblMaterial[SAP],0)),"?"))</f>
        <v/>
      </c>
      <c r="E763">
        <f>IF(B763="","",IFERROR(INDEX(tblMaterial[Meldebestand],MATCH(B763,tblMaterial[SAP],0)),"?"))</f>
        <v/>
      </c>
      <c r="F763">
        <f>IF(OR(B763="",NOT(ISNUMBER(D763))),"",IF(D763&lt;E763,"JA",""))</f>
        <v/>
      </c>
    </row>
    <row r="764">
      <c r="A764">
        <f>IFERROR(INDEX(tblStellplatz[Stellplatz],ROW()-1),"")</f>
        <v/>
      </c>
      <c r="B764">
        <f>IFERROR(INDEX(tblStellplatz[SAP],ROW()-1),"")</f>
        <v/>
      </c>
      <c r="C764">
        <f>IF(B764="","",IFERROR(INDEX(tblMaterial[Bezeichnung],MATCH(B764,tblMaterial[SAP],0)),"?"))</f>
        <v/>
      </c>
      <c r="D764">
        <f>IF(B764="","",IFERROR(INDEX(tblMaterial[Lagerstand],MATCH(B764,tblMaterial[SAP],0)),"?"))</f>
        <v/>
      </c>
      <c r="E764">
        <f>IF(B764="","",IFERROR(INDEX(tblMaterial[Meldebestand],MATCH(B764,tblMaterial[SAP],0)),"?"))</f>
        <v/>
      </c>
      <c r="F764">
        <f>IF(OR(B764="",NOT(ISNUMBER(D764))),"",IF(D764&lt;E764,"JA",""))</f>
        <v/>
      </c>
    </row>
    <row r="765">
      <c r="A765">
        <f>IFERROR(INDEX(tblStellplatz[Stellplatz],ROW()-1),"")</f>
        <v/>
      </c>
      <c r="B765">
        <f>IFERROR(INDEX(tblStellplatz[SAP],ROW()-1),"")</f>
        <v/>
      </c>
      <c r="C765">
        <f>IF(B765="","",IFERROR(INDEX(tblMaterial[Bezeichnung],MATCH(B765,tblMaterial[SAP],0)),"?"))</f>
        <v/>
      </c>
      <c r="D765">
        <f>IF(B765="","",IFERROR(INDEX(tblMaterial[Lagerstand],MATCH(B765,tblMaterial[SAP],0)),"?"))</f>
        <v/>
      </c>
      <c r="E765">
        <f>IF(B765="","",IFERROR(INDEX(tblMaterial[Meldebestand],MATCH(B765,tblMaterial[SAP],0)),"?"))</f>
        <v/>
      </c>
      <c r="F765">
        <f>IF(OR(B765="",NOT(ISNUMBER(D765))),"",IF(D765&lt;E765,"JA",""))</f>
        <v/>
      </c>
    </row>
    <row r="766">
      <c r="A766">
        <f>IFERROR(INDEX(tblStellplatz[Stellplatz],ROW()-1),"")</f>
        <v/>
      </c>
      <c r="B766">
        <f>IFERROR(INDEX(tblStellplatz[SAP],ROW()-1),"")</f>
        <v/>
      </c>
      <c r="C766">
        <f>IF(B766="","",IFERROR(INDEX(tblMaterial[Bezeichnung],MATCH(B766,tblMaterial[SAP],0)),"?"))</f>
        <v/>
      </c>
      <c r="D766">
        <f>IF(B766="","",IFERROR(INDEX(tblMaterial[Lagerstand],MATCH(B766,tblMaterial[SAP],0)),"?"))</f>
        <v/>
      </c>
      <c r="E766">
        <f>IF(B766="","",IFERROR(INDEX(tblMaterial[Meldebestand],MATCH(B766,tblMaterial[SAP],0)),"?"))</f>
        <v/>
      </c>
      <c r="F766">
        <f>IF(OR(B766="",NOT(ISNUMBER(D766))),"",IF(D766&lt;E766,"JA",""))</f>
        <v/>
      </c>
    </row>
    <row r="767">
      <c r="A767">
        <f>IFERROR(INDEX(tblStellplatz[Stellplatz],ROW()-1),"")</f>
        <v/>
      </c>
      <c r="B767">
        <f>IFERROR(INDEX(tblStellplatz[SAP],ROW()-1),"")</f>
        <v/>
      </c>
      <c r="C767">
        <f>IF(B767="","",IFERROR(INDEX(tblMaterial[Bezeichnung],MATCH(B767,tblMaterial[SAP],0)),"?"))</f>
        <v/>
      </c>
      <c r="D767">
        <f>IF(B767="","",IFERROR(INDEX(tblMaterial[Lagerstand],MATCH(B767,tblMaterial[SAP],0)),"?"))</f>
        <v/>
      </c>
      <c r="E767">
        <f>IF(B767="","",IFERROR(INDEX(tblMaterial[Meldebestand],MATCH(B767,tblMaterial[SAP],0)),"?"))</f>
        <v/>
      </c>
      <c r="F767">
        <f>IF(OR(B767="",NOT(ISNUMBER(D767))),"",IF(D767&lt;E767,"JA",""))</f>
        <v/>
      </c>
    </row>
    <row r="768">
      <c r="A768">
        <f>IFERROR(INDEX(tblStellplatz[Stellplatz],ROW()-1),"")</f>
        <v/>
      </c>
      <c r="B768">
        <f>IFERROR(INDEX(tblStellplatz[SAP],ROW()-1),"")</f>
        <v/>
      </c>
      <c r="C768">
        <f>IF(B768="","",IFERROR(INDEX(tblMaterial[Bezeichnung],MATCH(B768,tblMaterial[SAP],0)),"?"))</f>
        <v/>
      </c>
      <c r="D768">
        <f>IF(B768="","",IFERROR(INDEX(tblMaterial[Lagerstand],MATCH(B768,tblMaterial[SAP],0)),"?"))</f>
        <v/>
      </c>
      <c r="E768">
        <f>IF(B768="","",IFERROR(INDEX(tblMaterial[Meldebestand],MATCH(B768,tblMaterial[SAP],0)),"?"))</f>
        <v/>
      </c>
      <c r="F768">
        <f>IF(OR(B768="",NOT(ISNUMBER(D768))),"",IF(D768&lt;E768,"JA",""))</f>
        <v/>
      </c>
    </row>
    <row r="769">
      <c r="A769">
        <f>IFERROR(INDEX(tblStellplatz[Stellplatz],ROW()-1),"")</f>
        <v/>
      </c>
      <c r="B769">
        <f>IFERROR(INDEX(tblStellplatz[SAP],ROW()-1),"")</f>
        <v/>
      </c>
      <c r="C769">
        <f>IF(B769="","",IFERROR(INDEX(tblMaterial[Bezeichnung],MATCH(B769,tblMaterial[SAP],0)),"?"))</f>
        <v/>
      </c>
      <c r="D769">
        <f>IF(B769="","",IFERROR(INDEX(tblMaterial[Lagerstand],MATCH(B769,tblMaterial[SAP],0)),"?"))</f>
        <v/>
      </c>
      <c r="E769">
        <f>IF(B769="","",IFERROR(INDEX(tblMaterial[Meldebestand],MATCH(B769,tblMaterial[SAP],0)),"?"))</f>
        <v/>
      </c>
      <c r="F769">
        <f>IF(OR(B769="",NOT(ISNUMBER(D769))),"",IF(D769&lt;E769,"JA",""))</f>
        <v/>
      </c>
    </row>
    <row r="770">
      <c r="A770">
        <f>IFERROR(INDEX(tblStellplatz[Stellplatz],ROW()-1),"")</f>
        <v/>
      </c>
      <c r="B770">
        <f>IFERROR(INDEX(tblStellplatz[SAP],ROW()-1),"")</f>
        <v/>
      </c>
      <c r="C770">
        <f>IF(B770="","",IFERROR(INDEX(tblMaterial[Bezeichnung],MATCH(B770,tblMaterial[SAP],0)),"?"))</f>
        <v/>
      </c>
      <c r="D770">
        <f>IF(B770="","",IFERROR(INDEX(tblMaterial[Lagerstand],MATCH(B770,tblMaterial[SAP],0)),"?"))</f>
        <v/>
      </c>
      <c r="E770">
        <f>IF(B770="","",IFERROR(INDEX(tblMaterial[Meldebestand],MATCH(B770,tblMaterial[SAP],0)),"?"))</f>
        <v/>
      </c>
      <c r="F770">
        <f>IF(OR(B770="",NOT(ISNUMBER(D770))),"",IF(D770&lt;E770,"JA",""))</f>
        <v/>
      </c>
    </row>
    <row r="771">
      <c r="A771">
        <f>IFERROR(INDEX(tblStellplatz[Stellplatz],ROW()-1),"")</f>
        <v/>
      </c>
      <c r="B771">
        <f>IFERROR(INDEX(tblStellplatz[SAP],ROW()-1),"")</f>
        <v/>
      </c>
      <c r="C771">
        <f>IF(B771="","",IFERROR(INDEX(tblMaterial[Bezeichnung],MATCH(B771,tblMaterial[SAP],0)),"?"))</f>
        <v/>
      </c>
      <c r="D771">
        <f>IF(B771="","",IFERROR(INDEX(tblMaterial[Lagerstand],MATCH(B771,tblMaterial[SAP],0)),"?"))</f>
        <v/>
      </c>
      <c r="E771">
        <f>IF(B771="","",IFERROR(INDEX(tblMaterial[Meldebestand],MATCH(B771,tblMaterial[SAP],0)),"?"))</f>
        <v/>
      </c>
      <c r="F771">
        <f>IF(OR(B771="",NOT(ISNUMBER(D771))),"",IF(D771&lt;E771,"JA",""))</f>
        <v/>
      </c>
    </row>
    <row r="772">
      <c r="A772">
        <f>IFERROR(INDEX(tblStellplatz[Stellplatz],ROW()-1),"")</f>
        <v/>
      </c>
      <c r="B772">
        <f>IFERROR(INDEX(tblStellplatz[SAP],ROW()-1),"")</f>
        <v/>
      </c>
      <c r="C772">
        <f>IF(B772="","",IFERROR(INDEX(tblMaterial[Bezeichnung],MATCH(B772,tblMaterial[SAP],0)),"?"))</f>
        <v/>
      </c>
      <c r="D772">
        <f>IF(B772="","",IFERROR(INDEX(tblMaterial[Lagerstand],MATCH(B772,tblMaterial[SAP],0)),"?"))</f>
        <v/>
      </c>
      <c r="E772">
        <f>IF(B772="","",IFERROR(INDEX(tblMaterial[Meldebestand],MATCH(B772,tblMaterial[SAP],0)),"?"))</f>
        <v/>
      </c>
      <c r="F772">
        <f>IF(OR(B772="",NOT(ISNUMBER(D772))),"",IF(D772&lt;E772,"JA",""))</f>
        <v/>
      </c>
    </row>
    <row r="773">
      <c r="A773">
        <f>IFERROR(INDEX(tblStellplatz[Stellplatz],ROW()-1),"")</f>
        <v/>
      </c>
      <c r="B773">
        <f>IFERROR(INDEX(tblStellplatz[SAP],ROW()-1),"")</f>
        <v/>
      </c>
      <c r="C773">
        <f>IF(B773="","",IFERROR(INDEX(tblMaterial[Bezeichnung],MATCH(B773,tblMaterial[SAP],0)),"?"))</f>
        <v/>
      </c>
      <c r="D773">
        <f>IF(B773="","",IFERROR(INDEX(tblMaterial[Lagerstand],MATCH(B773,tblMaterial[SAP],0)),"?"))</f>
        <v/>
      </c>
      <c r="E773">
        <f>IF(B773="","",IFERROR(INDEX(tblMaterial[Meldebestand],MATCH(B773,tblMaterial[SAP],0)),"?"))</f>
        <v/>
      </c>
      <c r="F773">
        <f>IF(OR(B773="",NOT(ISNUMBER(D773))),"",IF(D773&lt;E773,"JA",""))</f>
        <v/>
      </c>
    </row>
    <row r="774">
      <c r="A774">
        <f>IFERROR(INDEX(tblStellplatz[Stellplatz],ROW()-1),"")</f>
        <v/>
      </c>
      <c r="B774">
        <f>IFERROR(INDEX(tblStellplatz[SAP],ROW()-1),"")</f>
        <v/>
      </c>
      <c r="C774">
        <f>IF(B774="","",IFERROR(INDEX(tblMaterial[Bezeichnung],MATCH(B774,tblMaterial[SAP],0)),"?"))</f>
        <v/>
      </c>
      <c r="D774">
        <f>IF(B774="","",IFERROR(INDEX(tblMaterial[Lagerstand],MATCH(B774,tblMaterial[SAP],0)),"?"))</f>
        <v/>
      </c>
      <c r="E774">
        <f>IF(B774="","",IFERROR(INDEX(tblMaterial[Meldebestand],MATCH(B774,tblMaterial[SAP],0)),"?"))</f>
        <v/>
      </c>
      <c r="F774">
        <f>IF(OR(B774="",NOT(ISNUMBER(D774))),"",IF(D774&lt;E774,"JA",""))</f>
        <v/>
      </c>
    </row>
    <row r="775">
      <c r="A775">
        <f>IFERROR(INDEX(tblStellplatz[Stellplatz],ROW()-1),"")</f>
        <v/>
      </c>
      <c r="B775">
        <f>IFERROR(INDEX(tblStellplatz[SAP],ROW()-1),"")</f>
        <v/>
      </c>
      <c r="C775">
        <f>IF(B775="","",IFERROR(INDEX(tblMaterial[Bezeichnung],MATCH(B775,tblMaterial[SAP],0)),"?"))</f>
        <v/>
      </c>
      <c r="D775">
        <f>IF(B775="","",IFERROR(INDEX(tblMaterial[Lagerstand],MATCH(B775,tblMaterial[SAP],0)),"?"))</f>
        <v/>
      </c>
      <c r="E775">
        <f>IF(B775="","",IFERROR(INDEX(tblMaterial[Meldebestand],MATCH(B775,tblMaterial[SAP],0)),"?"))</f>
        <v/>
      </c>
      <c r="F775">
        <f>IF(OR(B775="",NOT(ISNUMBER(D775))),"",IF(D775&lt;E775,"JA",""))</f>
        <v/>
      </c>
    </row>
    <row r="776">
      <c r="A776">
        <f>IFERROR(INDEX(tblStellplatz[Stellplatz],ROW()-1),"")</f>
        <v/>
      </c>
      <c r="B776">
        <f>IFERROR(INDEX(tblStellplatz[SAP],ROW()-1),"")</f>
        <v/>
      </c>
      <c r="C776">
        <f>IF(B776="","",IFERROR(INDEX(tblMaterial[Bezeichnung],MATCH(B776,tblMaterial[SAP],0)),"?"))</f>
        <v/>
      </c>
      <c r="D776">
        <f>IF(B776="","",IFERROR(INDEX(tblMaterial[Lagerstand],MATCH(B776,tblMaterial[SAP],0)),"?"))</f>
        <v/>
      </c>
      <c r="E776">
        <f>IF(B776="","",IFERROR(INDEX(tblMaterial[Meldebestand],MATCH(B776,tblMaterial[SAP],0)),"?"))</f>
        <v/>
      </c>
      <c r="F776">
        <f>IF(OR(B776="",NOT(ISNUMBER(D776))),"",IF(D776&lt;E776,"JA",""))</f>
        <v/>
      </c>
    </row>
    <row r="777">
      <c r="A777">
        <f>IFERROR(INDEX(tblStellplatz[Stellplatz],ROW()-1),"")</f>
        <v/>
      </c>
      <c r="B777">
        <f>IFERROR(INDEX(tblStellplatz[SAP],ROW()-1),"")</f>
        <v/>
      </c>
      <c r="C777">
        <f>IF(B777="","",IFERROR(INDEX(tblMaterial[Bezeichnung],MATCH(B777,tblMaterial[SAP],0)),"?"))</f>
        <v/>
      </c>
      <c r="D777">
        <f>IF(B777="","",IFERROR(INDEX(tblMaterial[Lagerstand],MATCH(B777,tblMaterial[SAP],0)),"?"))</f>
        <v/>
      </c>
      <c r="E777">
        <f>IF(B777="","",IFERROR(INDEX(tblMaterial[Meldebestand],MATCH(B777,tblMaterial[SAP],0)),"?"))</f>
        <v/>
      </c>
      <c r="F777">
        <f>IF(OR(B777="",NOT(ISNUMBER(D777))),"",IF(D777&lt;E777,"JA",""))</f>
        <v/>
      </c>
    </row>
    <row r="778">
      <c r="A778">
        <f>IFERROR(INDEX(tblStellplatz[Stellplatz],ROW()-1),"")</f>
        <v/>
      </c>
      <c r="B778">
        <f>IFERROR(INDEX(tblStellplatz[SAP],ROW()-1),"")</f>
        <v/>
      </c>
      <c r="C778">
        <f>IF(B778="","",IFERROR(INDEX(tblMaterial[Bezeichnung],MATCH(B778,tblMaterial[SAP],0)),"?"))</f>
        <v/>
      </c>
      <c r="D778">
        <f>IF(B778="","",IFERROR(INDEX(tblMaterial[Lagerstand],MATCH(B778,tblMaterial[SAP],0)),"?"))</f>
        <v/>
      </c>
      <c r="E778">
        <f>IF(B778="","",IFERROR(INDEX(tblMaterial[Meldebestand],MATCH(B778,tblMaterial[SAP],0)),"?"))</f>
        <v/>
      </c>
      <c r="F778">
        <f>IF(OR(B778="",NOT(ISNUMBER(D778))),"",IF(D778&lt;E778,"JA",""))</f>
        <v/>
      </c>
    </row>
    <row r="779">
      <c r="A779">
        <f>IFERROR(INDEX(tblStellplatz[Stellplatz],ROW()-1),"")</f>
        <v/>
      </c>
      <c r="B779">
        <f>IFERROR(INDEX(tblStellplatz[SAP],ROW()-1),"")</f>
        <v/>
      </c>
      <c r="C779">
        <f>IF(B779="","",IFERROR(INDEX(tblMaterial[Bezeichnung],MATCH(B779,tblMaterial[SAP],0)),"?"))</f>
        <v/>
      </c>
      <c r="D779">
        <f>IF(B779="","",IFERROR(INDEX(tblMaterial[Lagerstand],MATCH(B779,tblMaterial[SAP],0)),"?"))</f>
        <v/>
      </c>
      <c r="E779">
        <f>IF(B779="","",IFERROR(INDEX(tblMaterial[Meldebestand],MATCH(B779,tblMaterial[SAP],0)),"?"))</f>
        <v/>
      </c>
      <c r="F779">
        <f>IF(OR(B779="",NOT(ISNUMBER(D779))),"",IF(D779&lt;E779,"JA",""))</f>
        <v/>
      </c>
    </row>
    <row r="780">
      <c r="A780">
        <f>IFERROR(INDEX(tblStellplatz[Stellplatz],ROW()-1),"")</f>
        <v/>
      </c>
      <c r="B780">
        <f>IFERROR(INDEX(tblStellplatz[SAP],ROW()-1),"")</f>
        <v/>
      </c>
      <c r="C780">
        <f>IF(B780="","",IFERROR(INDEX(tblMaterial[Bezeichnung],MATCH(B780,tblMaterial[SAP],0)),"?"))</f>
        <v/>
      </c>
      <c r="D780">
        <f>IF(B780="","",IFERROR(INDEX(tblMaterial[Lagerstand],MATCH(B780,tblMaterial[SAP],0)),"?"))</f>
        <v/>
      </c>
      <c r="E780">
        <f>IF(B780="","",IFERROR(INDEX(tblMaterial[Meldebestand],MATCH(B780,tblMaterial[SAP],0)),"?"))</f>
        <v/>
      </c>
      <c r="F780">
        <f>IF(OR(B780="",NOT(ISNUMBER(D780))),"",IF(D780&lt;E780,"JA",""))</f>
        <v/>
      </c>
    </row>
    <row r="781">
      <c r="A781">
        <f>IFERROR(INDEX(tblStellplatz[Stellplatz],ROW()-1),"")</f>
        <v/>
      </c>
      <c r="B781">
        <f>IFERROR(INDEX(tblStellplatz[SAP],ROW()-1),"")</f>
        <v/>
      </c>
      <c r="C781">
        <f>IF(B781="","",IFERROR(INDEX(tblMaterial[Bezeichnung],MATCH(B781,tblMaterial[SAP],0)),"?"))</f>
        <v/>
      </c>
      <c r="D781">
        <f>IF(B781="","",IFERROR(INDEX(tblMaterial[Lagerstand],MATCH(B781,tblMaterial[SAP],0)),"?"))</f>
        <v/>
      </c>
      <c r="E781">
        <f>IF(B781="","",IFERROR(INDEX(tblMaterial[Meldebestand],MATCH(B781,tblMaterial[SAP],0)),"?"))</f>
        <v/>
      </c>
      <c r="F781">
        <f>IF(OR(B781="",NOT(ISNUMBER(D781))),"",IF(D781&lt;E781,"JA",""))</f>
        <v/>
      </c>
    </row>
    <row r="782">
      <c r="A782">
        <f>IFERROR(INDEX(tblStellplatz[Stellplatz],ROW()-1),"")</f>
        <v/>
      </c>
      <c r="B782">
        <f>IFERROR(INDEX(tblStellplatz[SAP],ROW()-1),"")</f>
        <v/>
      </c>
      <c r="C782">
        <f>IF(B782="","",IFERROR(INDEX(tblMaterial[Bezeichnung],MATCH(B782,tblMaterial[SAP],0)),"?"))</f>
        <v/>
      </c>
      <c r="D782">
        <f>IF(B782="","",IFERROR(INDEX(tblMaterial[Lagerstand],MATCH(B782,tblMaterial[SAP],0)),"?"))</f>
        <v/>
      </c>
      <c r="E782">
        <f>IF(B782="","",IFERROR(INDEX(tblMaterial[Meldebestand],MATCH(B782,tblMaterial[SAP],0)),"?"))</f>
        <v/>
      </c>
      <c r="F782">
        <f>IF(OR(B782="",NOT(ISNUMBER(D782))),"",IF(D782&lt;E782,"JA",""))</f>
        <v/>
      </c>
    </row>
    <row r="783">
      <c r="A783">
        <f>IFERROR(INDEX(tblStellplatz[Stellplatz],ROW()-1),"")</f>
        <v/>
      </c>
      <c r="B783">
        <f>IFERROR(INDEX(tblStellplatz[SAP],ROW()-1),"")</f>
        <v/>
      </c>
      <c r="C783">
        <f>IF(B783="","",IFERROR(INDEX(tblMaterial[Bezeichnung],MATCH(B783,tblMaterial[SAP],0)),"?"))</f>
        <v/>
      </c>
      <c r="D783">
        <f>IF(B783="","",IFERROR(INDEX(tblMaterial[Lagerstand],MATCH(B783,tblMaterial[SAP],0)),"?"))</f>
        <v/>
      </c>
      <c r="E783">
        <f>IF(B783="","",IFERROR(INDEX(tblMaterial[Meldebestand],MATCH(B783,tblMaterial[SAP],0)),"?"))</f>
        <v/>
      </c>
      <c r="F783">
        <f>IF(OR(B783="",NOT(ISNUMBER(D783))),"",IF(D783&lt;E783,"JA",""))</f>
        <v/>
      </c>
    </row>
    <row r="784">
      <c r="A784">
        <f>IFERROR(INDEX(tblStellplatz[Stellplatz],ROW()-1),"")</f>
        <v/>
      </c>
      <c r="B784">
        <f>IFERROR(INDEX(tblStellplatz[SAP],ROW()-1),"")</f>
        <v/>
      </c>
      <c r="C784">
        <f>IF(B784="","",IFERROR(INDEX(tblMaterial[Bezeichnung],MATCH(B784,tblMaterial[SAP],0)),"?"))</f>
        <v/>
      </c>
      <c r="D784">
        <f>IF(B784="","",IFERROR(INDEX(tblMaterial[Lagerstand],MATCH(B784,tblMaterial[SAP],0)),"?"))</f>
        <v/>
      </c>
      <c r="E784">
        <f>IF(B784="","",IFERROR(INDEX(tblMaterial[Meldebestand],MATCH(B784,tblMaterial[SAP],0)),"?"))</f>
        <v/>
      </c>
      <c r="F784">
        <f>IF(OR(B784="",NOT(ISNUMBER(D784))),"",IF(D784&lt;E784,"JA",""))</f>
        <v/>
      </c>
    </row>
    <row r="785">
      <c r="A785">
        <f>IFERROR(INDEX(tblStellplatz[Stellplatz],ROW()-1),"")</f>
        <v/>
      </c>
      <c r="B785">
        <f>IFERROR(INDEX(tblStellplatz[SAP],ROW()-1),"")</f>
        <v/>
      </c>
      <c r="C785">
        <f>IF(B785="","",IFERROR(INDEX(tblMaterial[Bezeichnung],MATCH(B785,tblMaterial[SAP],0)),"?"))</f>
        <v/>
      </c>
      <c r="D785">
        <f>IF(B785="","",IFERROR(INDEX(tblMaterial[Lagerstand],MATCH(B785,tblMaterial[SAP],0)),"?"))</f>
        <v/>
      </c>
      <c r="E785">
        <f>IF(B785="","",IFERROR(INDEX(tblMaterial[Meldebestand],MATCH(B785,tblMaterial[SAP],0)),"?"))</f>
        <v/>
      </c>
      <c r="F785">
        <f>IF(OR(B785="",NOT(ISNUMBER(D785))),"",IF(D785&lt;E785,"JA",""))</f>
        <v/>
      </c>
    </row>
    <row r="786">
      <c r="A786">
        <f>IFERROR(INDEX(tblStellplatz[Stellplatz],ROW()-1),"")</f>
        <v/>
      </c>
      <c r="B786">
        <f>IFERROR(INDEX(tblStellplatz[SAP],ROW()-1),"")</f>
        <v/>
      </c>
      <c r="C786">
        <f>IF(B786="","",IFERROR(INDEX(tblMaterial[Bezeichnung],MATCH(B786,tblMaterial[SAP],0)),"?"))</f>
        <v/>
      </c>
      <c r="D786">
        <f>IF(B786="","",IFERROR(INDEX(tblMaterial[Lagerstand],MATCH(B786,tblMaterial[SAP],0)),"?"))</f>
        <v/>
      </c>
      <c r="E786">
        <f>IF(B786="","",IFERROR(INDEX(tblMaterial[Meldebestand],MATCH(B786,tblMaterial[SAP],0)),"?"))</f>
        <v/>
      </c>
      <c r="F786">
        <f>IF(OR(B786="",NOT(ISNUMBER(D786))),"",IF(D786&lt;E786,"JA",""))</f>
        <v/>
      </c>
    </row>
    <row r="787">
      <c r="A787">
        <f>IFERROR(INDEX(tblStellplatz[Stellplatz],ROW()-1),"")</f>
        <v/>
      </c>
      <c r="B787">
        <f>IFERROR(INDEX(tblStellplatz[SAP],ROW()-1),"")</f>
        <v/>
      </c>
      <c r="C787">
        <f>IF(B787="","",IFERROR(INDEX(tblMaterial[Bezeichnung],MATCH(B787,tblMaterial[SAP],0)),"?"))</f>
        <v/>
      </c>
      <c r="D787">
        <f>IF(B787="","",IFERROR(INDEX(tblMaterial[Lagerstand],MATCH(B787,tblMaterial[SAP],0)),"?"))</f>
        <v/>
      </c>
      <c r="E787">
        <f>IF(B787="","",IFERROR(INDEX(tblMaterial[Meldebestand],MATCH(B787,tblMaterial[SAP],0)),"?"))</f>
        <v/>
      </c>
      <c r="F787">
        <f>IF(OR(B787="",NOT(ISNUMBER(D787))),"",IF(D787&lt;E787,"JA",""))</f>
        <v/>
      </c>
    </row>
    <row r="788">
      <c r="A788">
        <f>IFERROR(INDEX(tblStellplatz[Stellplatz],ROW()-1),"")</f>
        <v/>
      </c>
      <c r="B788">
        <f>IFERROR(INDEX(tblStellplatz[SAP],ROW()-1),"")</f>
        <v/>
      </c>
      <c r="C788">
        <f>IF(B788="","",IFERROR(INDEX(tblMaterial[Bezeichnung],MATCH(B788,tblMaterial[SAP],0)),"?"))</f>
        <v/>
      </c>
      <c r="D788">
        <f>IF(B788="","",IFERROR(INDEX(tblMaterial[Lagerstand],MATCH(B788,tblMaterial[SAP],0)),"?"))</f>
        <v/>
      </c>
      <c r="E788">
        <f>IF(B788="","",IFERROR(INDEX(tblMaterial[Meldebestand],MATCH(B788,tblMaterial[SAP],0)),"?"))</f>
        <v/>
      </c>
      <c r="F788">
        <f>IF(OR(B788="",NOT(ISNUMBER(D788))),"",IF(D788&lt;E788,"JA",""))</f>
        <v/>
      </c>
    </row>
    <row r="789">
      <c r="A789">
        <f>IFERROR(INDEX(tblStellplatz[Stellplatz],ROW()-1),"")</f>
        <v/>
      </c>
      <c r="B789">
        <f>IFERROR(INDEX(tblStellplatz[SAP],ROW()-1),"")</f>
        <v/>
      </c>
      <c r="C789">
        <f>IF(B789="","",IFERROR(INDEX(tblMaterial[Bezeichnung],MATCH(B789,tblMaterial[SAP],0)),"?"))</f>
        <v/>
      </c>
      <c r="D789">
        <f>IF(B789="","",IFERROR(INDEX(tblMaterial[Lagerstand],MATCH(B789,tblMaterial[SAP],0)),"?"))</f>
        <v/>
      </c>
      <c r="E789">
        <f>IF(B789="","",IFERROR(INDEX(tblMaterial[Meldebestand],MATCH(B789,tblMaterial[SAP],0)),"?"))</f>
        <v/>
      </c>
      <c r="F789">
        <f>IF(OR(B789="",NOT(ISNUMBER(D789))),"",IF(D789&lt;E789,"JA",""))</f>
        <v/>
      </c>
    </row>
    <row r="790">
      <c r="A790">
        <f>IFERROR(INDEX(tblStellplatz[Stellplatz],ROW()-1),"")</f>
        <v/>
      </c>
      <c r="B790">
        <f>IFERROR(INDEX(tblStellplatz[SAP],ROW()-1),"")</f>
        <v/>
      </c>
      <c r="C790">
        <f>IF(B790="","",IFERROR(INDEX(tblMaterial[Bezeichnung],MATCH(B790,tblMaterial[SAP],0)),"?"))</f>
        <v/>
      </c>
      <c r="D790">
        <f>IF(B790="","",IFERROR(INDEX(tblMaterial[Lagerstand],MATCH(B790,tblMaterial[SAP],0)),"?"))</f>
        <v/>
      </c>
      <c r="E790">
        <f>IF(B790="","",IFERROR(INDEX(tblMaterial[Meldebestand],MATCH(B790,tblMaterial[SAP],0)),"?"))</f>
        <v/>
      </c>
      <c r="F790">
        <f>IF(OR(B790="",NOT(ISNUMBER(D790))),"",IF(D790&lt;E790,"JA",""))</f>
        <v/>
      </c>
    </row>
    <row r="791">
      <c r="A791">
        <f>IFERROR(INDEX(tblStellplatz[Stellplatz],ROW()-1),"")</f>
        <v/>
      </c>
      <c r="B791">
        <f>IFERROR(INDEX(tblStellplatz[SAP],ROW()-1),"")</f>
        <v/>
      </c>
      <c r="C791">
        <f>IF(B791="","",IFERROR(INDEX(tblMaterial[Bezeichnung],MATCH(B791,tblMaterial[SAP],0)),"?"))</f>
        <v/>
      </c>
      <c r="D791">
        <f>IF(B791="","",IFERROR(INDEX(tblMaterial[Lagerstand],MATCH(B791,tblMaterial[SAP],0)),"?"))</f>
        <v/>
      </c>
      <c r="E791">
        <f>IF(B791="","",IFERROR(INDEX(tblMaterial[Meldebestand],MATCH(B791,tblMaterial[SAP],0)),"?"))</f>
        <v/>
      </c>
      <c r="F791">
        <f>IF(OR(B791="",NOT(ISNUMBER(D791))),"",IF(D791&lt;E791,"JA",""))</f>
        <v/>
      </c>
    </row>
    <row r="792">
      <c r="A792">
        <f>IFERROR(INDEX(tblStellplatz[Stellplatz],ROW()-1),"")</f>
        <v/>
      </c>
      <c r="B792">
        <f>IFERROR(INDEX(tblStellplatz[SAP],ROW()-1),"")</f>
        <v/>
      </c>
      <c r="C792">
        <f>IF(B792="","",IFERROR(INDEX(tblMaterial[Bezeichnung],MATCH(B792,tblMaterial[SAP],0)),"?"))</f>
        <v/>
      </c>
      <c r="D792">
        <f>IF(B792="","",IFERROR(INDEX(tblMaterial[Lagerstand],MATCH(B792,tblMaterial[SAP],0)),"?"))</f>
        <v/>
      </c>
      <c r="E792">
        <f>IF(B792="","",IFERROR(INDEX(tblMaterial[Meldebestand],MATCH(B792,tblMaterial[SAP],0)),"?"))</f>
        <v/>
      </c>
      <c r="F792">
        <f>IF(OR(B792="",NOT(ISNUMBER(D792))),"",IF(D792&lt;E792,"JA",""))</f>
        <v/>
      </c>
    </row>
    <row r="793">
      <c r="A793">
        <f>IFERROR(INDEX(tblStellplatz[Stellplatz],ROW()-1),"")</f>
        <v/>
      </c>
      <c r="B793">
        <f>IFERROR(INDEX(tblStellplatz[SAP],ROW()-1),"")</f>
        <v/>
      </c>
      <c r="C793">
        <f>IF(B793="","",IFERROR(INDEX(tblMaterial[Bezeichnung],MATCH(B793,tblMaterial[SAP],0)),"?"))</f>
        <v/>
      </c>
      <c r="D793">
        <f>IF(B793="","",IFERROR(INDEX(tblMaterial[Lagerstand],MATCH(B793,tblMaterial[SAP],0)),"?"))</f>
        <v/>
      </c>
      <c r="E793">
        <f>IF(B793="","",IFERROR(INDEX(tblMaterial[Meldebestand],MATCH(B793,tblMaterial[SAP],0)),"?"))</f>
        <v/>
      </c>
      <c r="F793">
        <f>IF(OR(B793="",NOT(ISNUMBER(D793))),"",IF(D793&lt;E793,"JA",""))</f>
        <v/>
      </c>
    </row>
    <row r="794">
      <c r="A794">
        <f>IFERROR(INDEX(tblStellplatz[Stellplatz],ROW()-1),"")</f>
        <v/>
      </c>
      <c r="B794">
        <f>IFERROR(INDEX(tblStellplatz[SAP],ROW()-1),"")</f>
        <v/>
      </c>
      <c r="C794">
        <f>IF(B794="","",IFERROR(INDEX(tblMaterial[Bezeichnung],MATCH(B794,tblMaterial[SAP],0)),"?"))</f>
        <v/>
      </c>
      <c r="D794">
        <f>IF(B794="","",IFERROR(INDEX(tblMaterial[Lagerstand],MATCH(B794,tblMaterial[SAP],0)),"?"))</f>
        <v/>
      </c>
      <c r="E794">
        <f>IF(B794="","",IFERROR(INDEX(tblMaterial[Meldebestand],MATCH(B794,tblMaterial[SAP],0)),"?"))</f>
        <v/>
      </c>
      <c r="F794">
        <f>IF(OR(B794="",NOT(ISNUMBER(D794))),"",IF(D794&lt;E794,"JA",""))</f>
        <v/>
      </c>
    </row>
    <row r="795">
      <c r="A795">
        <f>IFERROR(INDEX(tblStellplatz[Stellplatz],ROW()-1),"")</f>
        <v/>
      </c>
      <c r="B795">
        <f>IFERROR(INDEX(tblStellplatz[SAP],ROW()-1),"")</f>
        <v/>
      </c>
      <c r="C795">
        <f>IF(B795="","",IFERROR(INDEX(tblMaterial[Bezeichnung],MATCH(B795,tblMaterial[SAP],0)),"?"))</f>
        <v/>
      </c>
      <c r="D795">
        <f>IF(B795="","",IFERROR(INDEX(tblMaterial[Lagerstand],MATCH(B795,tblMaterial[SAP],0)),"?"))</f>
        <v/>
      </c>
      <c r="E795">
        <f>IF(B795="","",IFERROR(INDEX(tblMaterial[Meldebestand],MATCH(B795,tblMaterial[SAP],0)),"?"))</f>
        <v/>
      </c>
      <c r="F795">
        <f>IF(OR(B795="",NOT(ISNUMBER(D795))),"",IF(D795&lt;E795,"JA",""))</f>
        <v/>
      </c>
    </row>
    <row r="796">
      <c r="A796">
        <f>IFERROR(INDEX(tblStellplatz[Stellplatz],ROW()-1),"")</f>
        <v/>
      </c>
      <c r="B796">
        <f>IFERROR(INDEX(tblStellplatz[SAP],ROW()-1),"")</f>
        <v/>
      </c>
      <c r="C796">
        <f>IF(B796="","",IFERROR(INDEX(tblMaterial[Bezeichnung],MATCH(B796,tblMaterial[SAP],0)),"?"))</f>
        <v/>
      </c>
      <c r="D796">
        <f>IF(B796="","",IFERROR(INDEX(tblMaterial[Lagerstand],MATCH(B796,tblMaterial[SAP],0)),"?"))</f>
        <v/>
      </c>
      <c r="E796">
        <f>IF(B796="","",IFERROR(INDEX(tblMaterial[Meldebestand],MATCH(B796,tblMaterial[SAP],0)),"?"))</f>
        <v/>
      </c>
      <c r="F796">
        <f>IF(OR(B796="",NOT(ISNUMBER(D796))),"",IF(D796&lt;E796,"JA",""))</f>
        <v/>
      </c>
    </row>
    <row r="797">
      <c r="A797">
        <f>IFERROR(INDEX(tblStellplatz[Stellplatz],ROW()-1),"")</f>
        <v/>
      </c>
      <c r="B797">
        <f>IFERROR(INDEX(tblStellplatz[SAP],ROW()-1),"")</f>
        <v/>
      </c>
      <c r="C797">
        <f>IF(B797="","",IFERROR(INDEX(tblMaterial[Bezeichnung],MATCH(B797,tblMaterial[SAP],0)),"?"))</f>
        <v/>
      </c>
      <c r="D797">
        <f>IF(B797="","",IFERROR(INDEX(tblMaterial[Lagerstand],MATCH(B797,tblMaterial[SAP],0)),"?"))</f>
        <v/>
      </c>
      <c r="E797">
        <f>IF(B797="","",IFERROR(INDEX(tblMaterial[Meldebestand],MATCH(B797,tblMaterial[SAP],0)),"?"))</f>
        <v/>
      </c>
      <c r="F797">
        <f>IF(OR(B797="",NOT(ISNUMBER(D797))),"",IF(D797&lt;E797,"JA",""))</f>
        <v/>
      </c>
    </row>
    <row r="798">
      <c r="A798">
        <f>IFERROR(INDEX(tblStellplatz[Stellplatz],ROW()-1),"")</f>
        <v/>
      </c>
      <c r="B798">
        <f>IFERROR(INDEX(tblStellplatz[SAP],ROW()-1),"")</f>
        <v/>
      </c>
      <c r="C798">
        <f>IF(B798="","",IFERROR(INDEX(tblMaterial[Bezeichnung],MATCH(B798,tblMaterial[SAP],0)),"?"))</f>
        <v/>
      </c>
      <c r="D798">
        <f>IF(B798="","",IFERROR(INDEX(tblMaterial[Lagerstand],MATCH(B798,tblMaterial[SAP],0)),"?"))</f>
        <v/>
      </c>
      <c r="E798">
        <f>IF(B798="","",IFERROR(INDEX(tblMaterial[Meldebestand],MATCH(B798,tblMaterial[SAP],0)),"?"))</f>
        <v/>
      </c>
      <c r="F798">
        <f>IF(OR(B798="",NOT(ISNUMBER(D798))),"",IF(D798&lt;E798,"JA",""))</f>
        <v/>
      </c>
    </row>
    <row r="799">
      <c r="A799">
        <f>IFERROR(INDEX(tblStellplatz[Stellplatz],ROW()-1),"")</f>
        <v/>
      </c>
      <c r="B799">
        <f>IFERROR(INDEX(tblStellplatz[SAP],ROW()-1),"")</f>
        <v/>
      </c>
      <c r="C799">
        <f>IF(B799="","",IFERROR(INDEX(tblMaterial[Bezeichnung],MATCH(B799,tblMaterial[SAP],0)),"?"))</f>
        <v/>
      </c>
      <c r="D799">
        <f>IF(B799="","",IFERROR(INDEX(tblMaterial[Lagerstand],MATCH(B799,tblMaterial[SAP],0)),"?"))</f>
        <v/>
      </c>
      <c r="E799">
        <f>IF(B799="","",IFERROR(INDEX(tblMaterial[Meldebestand],MATCH(B799,tblMaterial[SAP],0)),"?"))</f>
        <v/>
      </c>
      <c r="F799">
        <f>IF(OR(B799="",NOT(ISNUMBER(D799))),"",IF(D799&lt;E799,"JA",""))</f>
        <v/>
      </c>
    </row>
    <row r="800">
      <c r="A800">
        <f>IFERROR(INDEX(tblStellplatz[Stellplatz],ROW()-1),"")</f>
        <v/>
      </c>
      <c r="B800">
        <f>IFERROR(INDEX(tblStellplatz[SAP],ROW()-1),"")</f>
        <v/>
      </c>
      <c r="C800">
        <f>IF(B800="","",IFERROR(INDEX(tblMaterial[Bezeichnung],MATCH(B800,tblMaterial[SAP],0)),"?"))</f>
        <v/>
      </c>
      <c r="D800">
        <f>IF(B800="","",IFERROR(INDEX(tblMaterial[Lagerstand],MATCH(B800,tblMaterial[SAP],0)),"?"))</f>
        <v/>
      </c>
      <c r="E800">
        <f>IF(B800="","",IFERROR(INDEX(tblMaterial[Meldebestand],MATCH(B800,tblMaterial[SAP],0)),"?"))</f>
        <v/>
      </c>
      <c r="F800">
        <f>IF(OR(B800="",NOT(ISNUMBER(D800))),"",IF(D800&lt;E800,"JA",""))</f>
        <v/>
      </c>
    </row>
    <row r="801">
      <c r="A801">
        <f>IFERROR(INDEX(tblStellplatz[Stellplatz],ROW()-1),"")</f>
        <v/>
      </c>
      <c r="B801">
        <f>IFERROR(INDEX(tblStellplatz[SAP],ROW()-1),"")</f>
        <v/>
      </c>
      <c r="C801">
        <f>IF(B801="","",IFERROR(INDEX(tblMaterial[Bezeichnung],MATCH(B801,tblMaterial[SAP],0)),"?"))</f>
        <v/>
      </c>
      <c r="D801">
        <f>IF(B801="","",IFERROR(INDEX(tblMaterial[Lagerstand],MATCH(B801,tblMaterial[SAP],0)),"?"))</f>
        <v/>
      </c>
      <c r="E801">
        <f>IF(B801="","",IFERROR(INDEX(tblMaterial[Meldebestand],MATCH(B801,tblMaterial[SAP],0)),"?"))</f>
        <v/>
      </c>
      <c r="F801">
        <f>IF(OR(B801="",NOT(ISNUMBER(D801))),"",IF(D801&lt;E801,"JA",""))</f>
        <v/>
      </c>
    </row>
    <row r="802">
      <c r="A802">
        <f>IFERROR(INDEX(tblStellplatz[Stellplatz],ROW()-1),"")</f>
        <v/>
      </c>
      <c r="B802">
        <f>IFERROR(INDEX(tblStellplatz[SAP],ROW()-1),"")</f>
        <v/>
      </c>
      <c r="C802">
        <f>IF(B802="","",IFERROR(INDEX(tblMaterial[Bezeichnung],MATCH(B802,tblMaterial[SAP],0)),"?"))</f>
        <v/>
      </c>
      <c r="D802">
        <f>IF(B802="","",IFERROR(INDEX(tblMaterial[Lagerstand],MATCH(B802,tblMaterial[SAP],0)),"?"))</f>
        <v/>
      </c>
      <c r="E802">
        <f>IF(B802="","",IFERROR(INDEX(tblMaterial[Meldebestand],MATCH(B802,tblMaterial[SAP],0)),"?"))</f>
        <v/>
      </c>
      <c r="F802">
        <f>IF(OR(B802="",NOT(ISNUMBER(D802))),"",IF(D802&lt;E802,"JA",""))</f>
        <v/>
      </c>
    </row>
    <row r="803">
      <c r="A803">
        <f>IFERROR(INDEX(tblStellplatz[Stellplatz],ROW()-1),"")</f>
        <v/>
      </c>
      <c r="B803">
        <f>IFERROR(INDEX(tblStellplatz[SAP],ROW()-1),"")</f>
        <v/>
      </c>
      <c r="C803">
        <f>IF(B803="","",IFERROR(INDEX(tblMaterial[Bezeichnung],MATCH(B803,tblMaterial[SAP],0)),"?"))</f>
        <v/>
      </c>
      <c r="D803">
        <f>IF(B803="","",IFERROR(INDEX(tblMaterial[Lagerstand],MATCH(B803,tblMaterial[SAP],0)),"?"))</f>
        <v/>
      </c>
      <c r="E803">
        <f>IF(B803="","",IFERROR(INDEX(tblMaterial[Meldebestand],MATCH(B803,tblMaterial[SAP],0)),"?"))</f>
        <v/>
      </c>
      <c r="F803">
        <f>IF(OR(B803="",NOT(ISNUMBER(D803))),"",IF(D803&lt;E803,"JA",""))</f>
        <v/>
      </c>
    </row>
    <row r="804">
      <c r="A804">
        <f>IFERROR(INDEX(tblStellplatz[Stellplatz],ROW()-1),"")</f>
        <v/>
      </c>
      <c r="B804">
        <f>IFERROR(INDEX(tblStellplatz[SAP],ROW()-1),"")</f>
        <v/>
      </c>
      <c r="C804">
        <f>IF(B804="","",IFERROR(INDEX(tblMaterial[Bezeichnung],MATCH(B804,tblMaterial[SAP],0)),"?"))</f>
        <v/>
      </c>
      <c r="D804">
        <f>IF(B804="","",IFERROR(INDEX(tblMaterial[Lagerstand],MATCH(B804,tblMaterial[SAP],0)),"?"))</f>
        <v/>
      </c>
      <c r="E804">
        <f>IF(B804="","",IFERROR(INDEX(tblMaterial[Meldebestand],MATCH(B804,tblMaterial[SAP],0)),"?"))</f>
        <v/>
      </c>
      <c r="F804">
        <f>IF(OR(B804="",NOT(ISNUMBER(D804))),"",IF(D804&lt;E804,"JA",""))</f>
        <v/>
      </c>
    </row>
    <row r="805">
      <c r="A805">
        <f>IFERROR(INDEX(tblStellplatz[Stellplatz],ROW()-1),"")</f>
        <v/>
      </c>
      <c r="B805">
        <f>IFERROR(INDEX(tblStellplatz[SAP],ROW()-1),"")</f>
        <v/>
      </c>
      <c r="C805">
        <f>IF(B805="","",IFERROR(INDEX(tblMaterial[Bezeichnung],MATCH(B805,tblMaterial[SAP],0)),"?"))</f>
        <v/>
      </c>
      <c r="D805">
        <f>IF(B805="","",IFERROR(INDEX(tblMaterial[Lagerstand],MATCH(B805,tblMaterial[SAP],0)),"?"))</f>
        <v/>
      </c>
      <c r="E805">
        <f>IF(B805="","",IFERROR(INDEX(tblMaterial[Meldebestand],MATCH(B805,tblMaterial[SAP],0)),"?"))</f>
        <v/>
      </c>
      <c r="F805">
        <f>IF(OR(B805="",NOT(ISNUMBER(D805))),"",IF(D805&lt;E805,"JA",""))</f>
        <v/>
      </c>
    </row>
    <row r="806">
      <c r="A806">
        <f>IFERROR(INDEX(tblStellplatz[Stellplatz],ROW()-1),"")</f>
        <v/>
      </c>
      <c r="B806">
        <f>IFERROR(INDEX(tblStellplatz[SAP],ROW()-1),"")</f>
        <v/>
      </c>
      <c r="C806">
        <f>IF(B806="","",IFERROR(INDEX(tblMaterial[Bezeichnung],MATCH(B806,tblMaterial[SAP],0)),"?"))</f>
        <v/>
      </c>
      <c r="D806">
        <f>IF(B806="","",IFERROR(INDEX(tblMaterial[Lagerstand],MATCH(B806,tblMaterial[SAP],0)),"?"))</f>
        <v/>
      </c>
      <c r="E806">
        <f>IF(B806="","",IFERROR(INDEX(tblMaterial[Meldebestand],MATCH(B806,tblMaterial[SAP],0)),"?"))</f>
        <v/>
      </c>
      <c r="F806">
        <f>IF(OR(B806="",NOT(ISNUMBER(D806))),"",IF(D806&lt;E806,"JA",""))</f>
        <v/>
      </c>
    </row>
    <row r="807">
      <c r="A807">
        <f>IFERROR(INDEX(tblStellplatz[Stellplatz],ROW()-1),"")</f>
        <v/>
      </c>
      <c r="B807">
        <f>IFERROR(INDEX(tblStellplatz[SAP],ROW()-1),"")</f>
        <v/>
      </c>
      <c r="C807">
        <f>IF(B807="","",IFERROR(INDEX(tblMaterial[Bezeichnung],MATCH(B807,tblMaterial[SAP],0)),"?"))</f>
        <v/>
      </c>
      <c r="D807">
        <f>IF(B807="","",IFERROR(INDEX(tblMaterial[Lagerstand],MATCH(B807,tblMaterial[SAP],0)),"?"))</f>
        <v/>
      </c>
      <c r="E807">
        <f>IF(B807="","",IFERROR(INDEX(tblMaterial[Meldebestand],MATCH(B807,tblMaterial[SAP],0)),"?"))</f>
        <v/>
      </c>
      <c r="F807">
        <f>IF(OR(B807="",NOT(ISNUMBER(D807))),"",IF(D807&lt;E807,"JA",""))</f>
        <v/>
      </c>
    </row>
    <row r="808">
      <c r="A808">
        <f>IFERROR(INDEX(tblStellplatz[Stellplatz],ROW()-1),"")</f>
        <v/>
      </c>
      <c r="B808">
        <f>IFERROR(INDEX(tblStellplatz[SAP],ROW()-1),"")</f>
        <v/>
      </c>
      <c r="C808">
        <f>IF(B808="","",IFERROR(INDEX(tblMaterial[Bezeichnung],MATCH(B808,tblMaterial[SAP],0)),"?"))</f>
        <v/>
      </c>
      <c r="D808">
        <f>IF(B808="","",IFERROR(INDEX(tblMaterial[Lagerstand],MATCH(B808,tblMaterial[SAP],0)),"?"))</f>
        <v/>
      </c>
      <c r="E808">
        <f>IF(B808="","",IFERROR(INDEX(tblMaterial[Meldebestand],MATCH(B808,tblMaterial[SAP],0)),"?"))</f>
        <v/>
      </c>
      <c r="F808">
        <f>IF(OR(B808="",NOT(ISNUMBER(D808))),"",IF(D808&lt;E808,"JA",""))</f>
        <v/>
      </c>
    </row>
    <row r="809">
      <c r="A809">
        <f>IFERROR(INDEX(tblStellplatz[Stellplatz],ROW()-1),"")</f>
        <v/>
      </c>
      <c r="B809">
        <f>IFERROR(INDEX(tblStellplatz[SAP],ROW()-1),"")</f>
        <v/>
      </c>
      <c r="C809">
        <f>IF(B809="","",IFERROR(INDEX(tblMaterial[Bezeichnung],MATCH(B809,tblMaterial[SAP],0)),"?"))</f>
        <v/>
      </c>
      <c r="D809">
        <f>IF(B809="","",IFERROR(INDEX(tblMaterial[Lagerstand],MATCH(B809,tblMaterial[SAP],0)),"?"))</f>
        <v/>
      </c>
      <c r="E809">
        <f>IF(B809="","",IFERROR(INDEX(tblMaterial[Meldebestand],MATCH(B809,tblMaterial[SAP],0)),"?"))</f>
        <v/>
      </c>
      <c r="F809">
        <f>IF(OR(B809="",NOT(ISNUMBER(D809))),"",IF(D809&lt;E809,"JA",""))</f>
        <v/>
      </c>
    </row>
    <row r="810">
      <c r="A810">
        <f>IFERROR(INDEX(tblStellplatz[Stellplatz],ROW()-1),"")</f>
        <v/>
      </c>
      <c r="B810">
        <f>IFERROR(INDEX(tblStellplatz[SAP],ROW()-1),"")</f>
        <v/>
      </c>
      <c r="C810">
        <f>IF(B810="","",IFERROR(INDEX(tblMaterial[Bezeichnung],MATCH(B810,tblMaterial[SAP],0)),"?"))</f>
        <v/>
      </c>
      <c r="D810">
        <f>IF(B810="","",IFERROR(INDEX(tblMaterial[Lagerstand],MATCH(B810,tblMaterial[SAP],0)),"?"))</f>
        <v/>
      </c>
      <c r="E810">
        <f>IF(B810="","",IFERROR(INDEX(tblMaterial[Meldebestand],MATCH(B810,tblMaterial[SAP],0)),"?"))</f>
        <v/>
      </c>
      <c r="F810">
        <f>IF(OR(B810="",NOT(ISNUMBER(D810))),"",IF(D810&lt;E810,"JA",""))</f>
        <v/>
      </c>
    </row>
    <row r="811">
      <c r="A811">
        <f>IFERROR(INDEX(tblStellplatz[Stellplatz],ROW()-1),"")</f>
        <v/>
      </c>
      <c r="B811">
        <f>IFERROR(INDEX(tblStellplatz[SAP],ROW()-1),"")</f>
        <v/>
      </c>
      <c r="C811">
        <f>IF(B811="","",IFERROR(INDEX(tblMaterial[Bezeichnung],MATCH(B811,tblMaterial[SAP],0)),"?"))</f>
        <v/>
      </c>
      <c r="D811">
        <f>IF(B811="","",IFERROR(INDEX(tblMaterial[Lagerstand],MATCH(B811,tblMaterial[SAP],0)),"?"))</f>
        <v/>
      </c>
      <c r="E811">
        <f>IF(B811="","",IFERROR(INDEX(tblMaterial[Meldebestand],MATCH(B811,tblMaterial[SAP],0)),"?"))</f>
        <v/>
      </c>
      <c r="F811">
        <f>IF(OR(B811="",NOT(ISNUMBER(D811))),"",IF(D811&lt;E811,"JA",""))</f>
        <v/>
      </c>
    </row>
    <row r="812">
      <c r="A812">
        <f>IFERROR(INDEX(tblStellplatz[Stellplatz],ROW()-1),"")</f>
        <v/>
      </c>
      <c r="B812">
        <f>IFERROR(INDEX(tblStellplatz[SAP],ROW()-1),"")</f>
        <v/>
      </c>
      <c r="C812">
        <f>IF(B812="","",IFERROR(INDEX(tblMaterial[Bezeichnung],MATCH(B812,tblMaterial[SAP],0)),"?"))</f>
        <v/>
      </c>
      <c r="D812">
        <f>IF(B812="","",IFERROR(INDEX(tblMaterial[Lagerstand],MATCH(B812,tblMaterial[SAP],0)),"?"))</f>
        <v/>
      </c>
      <c r="E812">
        <f>IF(B812="","",IFERROR(INDEX(tblMaterial[Meldebestand],MATCH(B812,tblMaterial[SAP],0)),"?"))</f>
        <v/>
      </c>
      <c r="F812">
        <f>IF(OR(B812="",NOT(ISNUMBER(D812))),"",IF(D812&lt;E812,"JA",""))</f>
        <v/>
      </c>
    </row>
    <row r="813">
      <c r="A813">
        <f>IFERROR(INDEX(tblStellplatz[Stellplatz],ROW()-1),"")</f>
        <v/>
      </c>
      <c r="B813">
        <f>IFERROR(INDEX(tblStellplatz[SAP],ROW()-1),"")</f>
        <v/>
      </c>
      <c r="C813">
        <f>IF(B813="","",IFERROR(INDEX(tblMaterial[Bezeichnung],MATCH(B813,tblMaterial[SAP],0)),"?"))</f>
        <v/>
      </c>
      <c r="D813">
        <f>IF(B813="","",IFERROR(INDEX(tblMaterial[Lagerstand],MATCH(B813,tblMaterial[SAP],0)),"?"))</f>
        <v/>
      </c>
      <c r="E813">
        <f>IF(B813="","",IFERROR(INDEX(tblMaterial[Meldebestand],MATCH(B813,tblMaterial[SAP],0)),"?"))</f>
        <v/>
      </c>
      <c r="F813">
        <f>IF(OR(B813="",NOT(ISNUMBER(D813))),"",IF(D813&lt;E813,"JA",""))</f>
        <v/>
      </c>
    </row>
    <row r="814">
      <c r="A814">
        <f>IFERROR(INDEX(tblStellplatz[Stellplatz],ROW()-1),"")</f>
        <v/>
      </c>
      <c r="B814">
        <f>IFERROR(INDEX(tblStellplatz[SAP],ROW()-1),"")</f>
        <v/>
      </c>
      <c r="C814">
        <f>IF(B814="","",IFERROR(INDEX(tblMaterial[Bezeichnung],MATCH(B814,tblMaterial[SAP],0)),"?"))</f>
        <v/>
      </c>
      <c r="D814">
        <f>IF(B814="","",IFERROR(INDEX(tblMaterial[Lagerstand],MATCH(B814,tblMaterial[SAP],0)),"?"))</f>
        <v/>
      </c>
      <c r="E814">
        <f>IF(B814="","",IFERROR(INDEX(tblMaterial[Meldebestand],MATCH(B814,tblMaterial[SAP],0)),"?"))</f>
        <v/>
      </c>
      <c r="F814">
        <f>IF(OR(B814="",NOT(ISNUMBER(D814))),"",IF(D814&lt;E814,"JA",""))</f>
        <v/>
      </c>
    </row>
    <row r="815">
      <c r="A815">
        <f>IFERROR(INDEX(tblStellplatz[Stellplatz],ROW()-1),"")</f>
        <v/>
      </c>
      <c r="B815">
        <f>IFERROR(INDEX(tblStellplatz[SAP],ROW()-1),"")</f>
        <v/>
      </c>
      <c r="C815">
        <f>IF(B815="","",IFERROR(INDEX(tblMaterial[Bezeichnung],MATCH(B815,tblMaterial[SAP],0)),"?"))</f>
        <v/>
      </c>
      <c r="D815">
        <f>IF(B815="","",IFERROR(INDEX(tblMaterial[Lagerstand],MATCH(B815,tblMaterial[SAP],0)),"?"))</f>
        <v/>
      </c>
      <c r="E815">
        <f>IF(B815="","",IFERROR(INDEX(tblMaterial[Meldebestand],MATCH(B815,tblMaterial[SAP],0)),"?"))</f>
        <v/>
      </c>
      <c r="F815">
        <f>IF(OR(B815="",NOT(ISNUMBER(D815))),"",IF(D815&lt;E815,"JA",""))</f>
        <v/>
      </c>
    </row>
    <row r="816">
      <c r="A816">
        <f>IFERROR(INDEX(tblStellplatz[Stellplatz],ROW()-1),"")</f>
        <v/>
      </c>
      <c r="B816">
        <f>IFERROR(INDEX(tblStellplatz[SAP],ROW()-1),"")</f>
        <v/>
      </c>
      <c r="C816">
        <f>IF(B816="","",IFERROR(INDEX(tblMaterial[Bezeichnung],MATCH(B816,tblMaterial[SAP],0)),"?"))</f>
        <v/>
      </c>
      <c r="D816">
        <f>IF(B816="","",IFERROR(INDEX(tblMaterial[Lagerstand],MATCH(B816,tblMaterial[SAP],0)),"?"))</f>
        <v/>
      </c>
      <c r="E816">
        <f>IF(B816="","",IFERROR(INDEX(tblMaterial[Meldebestand],MATCH(B816,tblMaterial[SAP],0)),"?"))</f>
        <v/>
      </c>
      <c r="F816">
        <f>IF(OR(B816="",NOT(ISNUMBER(D816))),"",IF(D816&lt;E816,"JA",""))</f>
        <v/>
      </c>
    </row>
    <row r="817">
      <c r="A817">
        <f>IFERROR(INDEX(tblStellplatz[Stellplatz],ROW()-1),"")</f>
        <v/>
      </c>
      <c r="B817">
        <f>IFERROR(INDEX(tblStellplatz[SAP],ROW()-1),"")</f>
        <v/>
      </c>
      <c r="C817">
        <f>IF(B817="","",IFERROR(INDEX(tblMaterial[Bezeichnung],MATCH(B817,tblMaterial[SAP],0)),"?"))</f>
        <v/>
      </c>
      <c r="D817">
        <f>IF(B817="","",IFERROR(INDEX(tblMaterial[Lagerstand],MATCH(B817,tblMaterial[SAP],0)),"?"))</f>
        <v/>
      </c>
      <c r="E817">
        <f>IF(B817="","",IFERROR(INDEX(tblMaterial[Meldebestand],MATCH(B817,tblMaterial[SAP],0)),"?"))</f>
        <v/>
      </c>
      <c r="F817">
        <f>IF(OR(B817="",NOT(ISNUMBER(D817))),"",IF(D817&lt;E817,"JA",""))</f>
        <v/>
      </c>
    </row>
    <row r="818">
      <c r="A818">
        <f>IFERROR(INDEX(tblStellplatz[Stellplatz],ROW()-1),"")</f>
        <v/>
      </c>
      <c r="B818">
        <f>IFERROR(INDEX(tblStellplatz[SAP],ROW()-1),"")</f>
        <v/>
      </c>
      <c r="C818">
        <f>IF(B818="","",IFERROR(INDEX(tblMaterial[Bezeichnung],MATCH(B818,tblMaterial[SAP],0)),"?"))</f>
        <v/>
      </c>
      <c r="D818">
        <f>IF(B818="","",IFERROR(INDEX(tblMaterial[Lagerstand],MATCH(B818,tblMaterial[SAP],0)),"?"))</f>
        <v/>
      </c>
      <c r="E818">
        <f>IF(B818="","",IFERROR(INDEX(tblMaterial[Meldebestand],MATCH(B818,tblMaterial[SAP],0)),"?"))</f>
        <v/>
      </c>
      <c r="F818">
        <f>IF(OR(B818="",NOT(ISNUMBER(D818))),"",IF(D818&lt;E818,"JA",""))</f>
        <v/>
      </c>
    </row>
    <row r="819">
      <c r="A819">
        <f>IFERROR(INDEX(tblStellplatz[Stellplatz],ROW()-1),"")</f>
        <v/>
      </c>
      <c r="B819">
        <f>IFERROR(INDEX(tblStellplatz[SAP],ROW()-1),"")</f>
        <v/>
      </c>
      <c r="C819">
        <f>IF(B819="","",IFERROR(INDEX(tblMaterial[Bezeichnung],MATCH(B819,tblMaterial[SAP],0)),"?"))</f>
        <v/>
      </c>
      <c r="D819">
        <f>IF(B819="","",IFERROR(INDEX(tblMaterial[Lagerstand],MATCH(B819,tblMaterial[SAP],0)),"?"))</f>
        <v/>
      </c>
      <c r="E819">
        <f>IF(B819="","",IFERROR(INDEX(tblMaterial[Meldebestand],MATCH(B819,tblMaterial[SAP],0)),"?"))</f>
        <v/>
      </c>
      <c r="F819">
        <f>IF(OR(B819="",NOT(ISNUMBER(D819))),"",IF(D819&lt;E819,"JA",""))</f>
        <v/>
      </c>
    </row>
    <row r="820">
      <c r="A820">
        <f>IFERROR(INDEX(tblStellplatz[Stellplatz],ROW()-1),"")</f>
        <v/>
      </c>
      <c r="B820">
        <f>IFERROR(INDEX(tblStellplatz[SAP],ROW()-1),"")</f>
        <v/>
      </c>
      <c r="C820">
        <f>IF(B820="","",IFERROR(INDEX(tblMaterial[Bezeichnung],MATCH(B820,tblMaterial[SAP],0)),"?"))</f>
        <v/>
      </c>
      <c r="D820">
        <f>IF(B820="","",IFERROR(INDEX(tblMaterial[Lagerstand],MATCH(B820,tblMaterial[SAP],0)),"?"))</f>
        <v/>
      </c>
      <c r="E820">
        <f>IF(B820="","",IFERROR(INDEX(tblMaterial[Meldebestand],MATCH(B820,tblMaterial[SAP],0)),"?"))</f>
        <v/>
      </c>
      <c r="F820">
        <f>IF(OR(B820="",NOT(ISNUMBER(D820))),"",IF(D820&lt;E820,"JA",""))</f>
        <v/>
      </c>
    </row>
    <row r="821">
      <c r="A821">
        <f>IFERROR(INDEX(tblStellplatz[Stellplatz],ROW()-1),"")</f>
        <v/>
      </c>
      <c r="B821">
        <f>IFERROR(INDEX(tblStellplatz[SAP],ROW()-1),"")</f>
        <v/>
      </c>
      <c r="C821">
        <f>IF(B821="","",IFERROR(INDEX(tblMaterial[Bezeichnung],MATCH(B821,tblMaterial[SAP],0)),"?"))</f>
        <v/>
      </c>
      <c r="D821">
        <f>IF(B821="","",IFERROR(INDEX(tblMaterial[Lagerstand],MATCH(B821,tblMaterial[SAP],0)),"?"))</f>
        <v/>
      </c>
      <c r="E821">
        <f>IF(B821="","",IFERROR(INDEX(tblMaterial[Meldebestand],MATCH(B821,tblMaterial[SAP],0)),"?"))</f>
        <v/>
      </c>
      <c r="F821">
        <f>IF(OR(B821="",NOT(ISNUMBER(D821))),"",IF(D821&lt;E821,"JA",""))</f>
        <v/>
      </c>
    </row>
    <row r="822">
      <c r="A822">
        <f>IFERROR(INDEX(tblStellplatz[Stellplatz],ROW()-1),"")</f>
        <v/>
      </c>
      <c r="B822">
        <f>IFERROR(INDEX(tblStellplatz[SAP],ROW()-1),"")</f>
        <v/>
      </c>
      <c r="C822">
        <f>IF(B822="","",IFERROR(INDEX(tblMaterial[Bezeichnung],MATCH(B822,tblMaterial[SAP],0)),"?"))</f>
        <v/>
      </c>
      <c r="D822">
        <f>IF(B822="","",IFERROR(INDEX(tblMaterial[Lagerstand],MATCH(B822,tblMaterial[SAP],0)),"?"))</f>
        <v/>
      </c>
      <c r="E822">
        <f>IF(B822="","",IFERROR(INDEX(tblMaterial[Meldebestand],MATCH(B822,tblMaterial[SAP],0)),"?"))</f>
        <v/>
      </c>
      <c r="F822">
        <f>IF(OR(B822="",NOT(ISNUMBER(D822))),"",IF(D822&lt;E822,"JA",""))</f>
        <v/>
      </c>
    </row>
    <row r="823">
      <c r="A823">
        <f>IFERROR(INDEX(tblStellplatz[Stellplatz],ROW()-1),"")</f>
        <v/>
      </c>
      <c r="B823">
        <f>IFERROR(INDEX(tblStellplatz[SAP],ROW()-1),"")</f>
        <v/>
      </c>
      <c r="C823">
        <f>IF(B823="","",IFERROR(INDEX(tblMaterial[Bezeichnung],MATCH(B823,tblMaterial[SAP],0)),"?"))</f>
        <v/>
      </c>
      <c r="D823">
        <f>IF(B823="","",IFERROR(INDEX(tblMaterial[Lagerstand],MATCH(B823,tblMaterial[SAP],0)),"?"))</f>
        <v/>
      </c>
      <c r="E823">
        <f>IF(B823="","",IFERROR(INDEX(tblMaterial[Meldebestand],MATCH(B823,tblMaterial[SAP],0)),"?"))</f>
        <v/>
      </c>
      <c r="F823">
        <f>IF(OR(B823="",NOT(ISNUMBER(D823))),"",IF(D823&lt;E823,"JA",""))</f>
        <v/>
      </c>
    </row>
    <row r="824">
      <c r="A824">
        <f>IFERROR(INDEX(tblStellplatz[Stellplatz],ROW()-1),"")</f>
        <v/>
      </c>
      <c r="B824">
        <f>IFERROR(INDEX(tblStellplatz[SAP],ROW()-1),"")</f>
        <v/>
      </c>
      <c r="C824">
        <f>IF(B824="","",IFERROR(INDEX(tblMaterial[Bezeichnung],MATCH(B824,tblMaterial[SAP],0)),"?"))</f>
        <v/>
      </c>
      <c r="D824">
        <f>IF(B824="","",IFERROR(INDEX(tblMaterial[Lagerstand],MATCH(B824,tblMaterial[SAP],0)),"?"))</f>
        <v/>
      </c>
      <c r="E824">
        <f>IF(B824="","",IFERROR(INDEX(tblMaterial[Meldebestand],MATCH(B824,tblMaterial[SAP],0)),"?"))</f>
        <v/>
      </c>
      <c r="F824">
        <f>IF(OR(B824="",NOT(ISNUMBER(D824))),"",IF(D824&lt;E824,"JA",""))</f>
        <v/>
      </c>
    </row>
    <row r="825">
      <c r="A825">
        <f>IFERROR(INDEX(tblStellplatz[Stellplatz],ROW()-1),"")</f>
        <v/>
      </c>
      <c r="B825">
        <f>IFERROR(INDEX(tblStellplatz[SAP],ROW()-1),"")</f>
        <v/>
      </c>
      <c r="C825">
        <f>IF(B825="","",IFERROR(INDEX(tblMaterial[Bezeichnung],MATCH(B825,tblMaterial[SAP],0)),"?"))</f>
        <v/>
      </c>
      <c r="D825">
        <f>IF(B825="","",IFERROR(INDEX(tblMaterial[Lagerstand],MATCH(B825,tblMaterial[SAP],0)),"?"))</f>
        <v/>
      </c>
      <c r="E825">
        <f>IF(B825="","",IFERROR(INDEX(tblMaterial[Meldebestand],MATCH(B825,tblMaterial[SAP],0)),"?"))</f>
        <v/>
      </c>
      <c r="F825">
        <f>IF(OR(B825="",NOT(ISNUMBER(D825))),"",IF(D825&lt;E825,"JA",""))</f>
        <v/>
      </c>
    </row>
    <row r="826">
      <c r="A826">
        <f>IFERROR(INDEX(tblStellplatz[Stellplatz],ROW()-1),"")</f>
        <v/>
      </c>
      <c r="B826">
        <f>IFERROR(INDEX(tblStellplatz[SAP],ROW()-1),"")</f>
        <v/>
      </c>
      <c r="C826">
        <f>IF(B826="","",IFERROR(INDEX(tblMaterial[Bezeichnung],MATCH(B826,tblMaterial[SAP],0)),"?"))</f>
        <v/>
      </c>
      <c r="D826">
        <f>IF(B826="","",IFERROR(INDEX(tblMaterial[Lagerstand],MATCH(B826,tblMaterial[SAP],0)),"?"))</f>
        <v/>
      </c>
      <c r="E826">
        <f>IF(B826="","",IFERROR(INDEX(tblMaterial[Meldebestand],MATCH(B826,tblMaterial[SAP],0)),"?"))</f>
        <v/>
      </c>
      <c r="F826">
        <f>IF(OR(B826="",NOT(ISNUMBER(D826))),"",IF(D826&lt;E826,"JA",""))</f>
        <v/>
      </c>
    </row>
    <row r="827">
      <c r="A827">
        <f>IFERROR(INDEX(tblStellplatz[Stellplatz],ROW()-1),"")</f>
        <v/>
      </c>
      <c r="B827">
        <f>IFERROR(INDEX(tblStellplatz[SAP],ROW()-1),"")</f>
        <v/>
      </c>
      <c r="C827">
        <f>IF(B827="","",IFERROR(INDEX(tblMaterial[Bezeichnung],MATCH(B827,tblMaterial[SAP],0)),"?"))</f>
        <v/>
      </c>
      <c r="D827">
        <f>IF(B827="","",IFERROR(INDEX(tblMaterial[Lagerstand],MATCH(B827,tblMaterial[SAP],0)),"?"))</f>
        <v/>
      </c>
      <c r="E827">
        <f>IF(B827="","",IFERROR(INDEX(tblMaterial[Meldebestand],MATCH(B827,tblMaterial[SAP],0)),"?"))</f>
        <v/>
      </c>
      <c r="F827">
        <f>IF(OR(B827="",NOT(ISNUMBER(D827))),"",IF(D827&lt;E827,"JA",""))</f>
        <v/>
      </c>
    </row>
    <row r="828">
      <c r="A828">
        <f>IFERROR(INDEX(tblStellplatz[Stellplatz],ROW()-1),"")</f>
        <v/>
      </c>
      <c r="B828">
        <f>IFERROR(INDEX(tblStellplatz[SAP],ROW()-1),"")</f>
        <v/>
      </c>
      <c r="C828">
        <f>IF(B828="","",IFERROR(INDEX(tblMaterial[Bezeichnung],MATCH(B828,tblMaterial[SAP],0)),"?"))</f>
        <v/>
      </c>
      <c r="D828">
        <f>IF(B828="","",IFERROR(INDEX(tblMaterial[Lagerstand],MATCH(B828,tblMaterial[SAP],0)),"?"))</f>
        <v/>
      </c>
      <c r="E828">
        <f>IF(B828="","",IFERROR(INDEX(tblMaterial[Meldebestand],MATCH(B828,tblMaterial[SAP],0)),"?"))</f>
        <v/>
      </c>
      <c r="F828">
        <f>IF(OR(B828="",NOT(ISNUMBER(D828))),"",IF(D828&lt;E828,"JA",""))</f>
        <v/>
      </c>
    </row>
    <row r="829">
      <c r="A829">
        <f>IFERROR(INDEX(tblStellplatz[Stellplatz],ROW()-1),"")</f>
        <v/>
      </c>
      <c r="B829">
        <f>IFERROR(INDEX(tblStellplatz[SAP],ROW()-1),"")</f>
        <v/>
      </c>
      <c r="C829">
        <f>IF(B829="","",IFERROR(INDEX(tblMaterial[Bezeichnung],MATCH(B829,tblMaterial[SAP],0)),"?"))</f>
        <v/>
      </c>
      <c r="D829">
        <f>IF(B829="","",IFERROR(INDEX(tblMaterial[Lagerstand],MATCH(B829,tblMaterial[SAP],0)),"?"))</f>
        <v/>
      </c>
      <c r="E829">
        <f>IF(B829="","",IFERROR(INDEX(tblMaterial[Meldebestand],MATCH(B829,tblMaterial[SAP],0)),"?"))</f>
        <v/>
      </c>
      <c r="F829">
        <f>IF(OR(B829="",NOT(ISNUMBER(D829))),"",IF(D829&lt;E829,"JA",""))</f>
        <v/>
      </c>
    </row>
    <row r="830">
      <c r="A830">
        <f>IFERROR(INDEX(tblStellplatz[Stellplatz],ROW()-1),"")</f>
        <v/>
      </c>
      <c r="B830">
        <f>IFERROR(INDEX(tblStellplatz[SAP],ROW()-1),"")</f>
        <v/>
      </c>
      <c r="C830">
        <f>IF(B830="","",IFERROR(INDEX(tblMaterial[Bezeichnung],MATCH(B830,tblMaterial[SAP],0)),"?"))</f>
        <v/>
      </c>
      <c r="D830">
        <f>IF(B830="","",IFERROR(INDEX(tblMaterial[Lagerstand],MATCH(B830,tblMaterial[SAP],0)),"?"))</f>
        <v/>
      </c>
      <c r="E830">
        <f>IF(B830="","",IFERROR(INDEX(tblMaterial[Meldebestand],MATCH(B830,tblMaterial[SAP],0)),"?"))</f>
        <v/>
      </c>
      <c r="F830">
        <f>IF(OR(B830="",NOT(ISNUMBER(D830))),"",IF(D830&lt;E830,"JA",""))</f>
        <v/>
      </c>
    </row>
    <row r="831">
      <c r="A831">
        <f>IFERROR(INDEX(tblStellplatz[Stellplatz],ROW()-1),"")</f>
        <v/>
      </c>
      <c r="B831">
        <f>IFERROR(INDEX(tblStellplatz[SAP],ROW()-1),"")</f>
        <v/>
      </c>
      <c r="C831">
        <f>IF(B831="","",IFERROR(INDEX(tblMaterial[Bezeichnung],MATCH(B831,tblMaterial[SAP],0)),"?"))</f>
        <v/>
      </c>
      <c r="D831">
        <f>IF(B831="","",IFERROR(INDEX(tblMaterial[Lagerstand],MATCH(B831,tblMaterial[SAP],0)),"?"))</f>
        <v/>
      </c>
      <c r="E831">
        <f>IF(B831="","",IFERROR(INDEX(tblMaterial[Meldebestand],MATCH(B831,tblMaterial[SAP],0)),"?"))</f>
        <v/>
      </c>
      <c r="F831">
        <f>IF(OR(B831="",NOT(ISNUMBER(D831))),"",IF(D831&lt;E831,"JA",""))</f>
        <v/>
      </c>
    </row>
    <row r="832">
      <c r="A832">
        <f>IFERROR(INDEX(tblStellplatz[Stellplatz],ROW()-1),"")</f>
        <v/>
      </c>
      <c r="B832">
        <f>IFERROR(INDEX(tblStellplatz[SAP],ROW()-1),"")</f>
        <v/>
      </c>
      <c r="C832">
        <f>IF(B832="","",IFERROR(INDEX(tblMaterial[Bezeichnung],MATCH(B832,tblMaterial[SAP],0)),"?"))</f>
        <v/>
      </c>
      <c r="D832">
        <f>IF(B832="","",IFERROR(INDEX(tblMaterial[Lagerstand],MATCH(B832,tblMaterial[SAP],0)),"?"))</f>
        <v/>
      </c>
      <c r="E832">
        <f>IF(B832="","",IFERROR(INDEX(tblMaterial[Meldebestand],MATCH(B832,tblMaterial[SAP],0)),"?"))</f>
        <v/>
      </c>
      <c r="F832">
        <f>IF(OR(B832="",NOT(ISNUMBER(D832))),"",IF(D832&lt;E832,"JA",""))</f>
        <v/>
      </c>
    </row>
    <row r="833">
      <c r="A833">
        <f>IFERROR(INDEX(tblStellplatz[Stellplatz],ROW()-1),"")</f>
        <v/>
      </c>
      <c r="B833">
        <f>IFERROR(INDEX(tblStellplatz[SAP],ROW()-1),"")</f>
        <v/>
      </c>
      <c r="C833">
        <f>IF(B833="","",IFERROR(INDEX(tblMaterial[Bezeichnung],MATCH(B833,tblMaterial[SAP],0)),"?"))</f>
        <v/>
      </c>
      <c r="D833">
        <f>IF(B833="","",IFERROR(INDEX(tblMaterial[Lagerstand],MATCH(B833,tblMaterial[SAP],0)),"?"))</f>
        <v/>
      </c>
      <c r="E833">
        <f>IF(B833="","",IFERROR(INDEX(tblMaterial[Meldebestand],MATCH(B833,tblMaterial[SAP],0)),"?"))</f>
        <v/>
      </c>
      <c r="F833">
        <f>IF(OR(B833="",NOT(ISNUMBER(D833))),"",IF(D833&lt;E833,"JA",""))</f>
        <v/>
      </c>
    </row>
    <row r="834">
      <c r="A834">
        <f>IFERROR(INDEX(tblStellplatz[Stellplatz],ROW()-1),"")</f>
        <v/>
      </c>
      <c r="B834">
        <f>IFERROR(INDEX(tblStellplatz[SAP],ROW()-1),"")</f>
        <v/>
      </c>
      <c r="C834">
        <f>IF(B834="","",IFERROR(INDEX(tblMaterial[Bezeichnung],MATCH(B834,tblMaterial[SAP],0)),"?"))</f>
        <v/>
      </c>
      <c r="D834">
        <f>IF(B834="","",IFERROR(INDEX(tblMaterial[Lagerstand],MATCH(B834,tblMaterial[SAP],0)),"?"))</f>
        <v/>
      </c>
      <c r="E834">
        <f>IF(B834="","",IFERROR(INDEX(tblMaterial[Meldebestand],MATCH(B834,tblMaterial[SAP],0)),"?"))</f>
        <v/>
      </c>
      <c r="F834">
        <f>IF(OR(B834="",NOT(ISNUMBER(D834))),"",IF(D834&lt;E834,"JA",""))</f>
        <v/>
      </c>
    </row>
    <row r="835">
      <c r="A835">
        <f>IFERROR(INDEX(tblStellplatz[Stellplatz],ROW()-1),"")</f>
        <v/>
      </c>
      <c r="B835">
        <f>IFERROR(INDEX(tblStellplatz[SAP],ROW()-1),"")</f>
        <v/>
      </c>
      <c r="C835">
        <f>IF(B835="","",IFERROR(INDEX(tblMaterial[Bezeichnung],MATCH(B835,tblMaterial[SAP],0)),"?"))</f>
        <v/>
      </c>
      <c r="D835">
        <f>IF(B835="","",IFERROR(INDEX(tblMaterial[Lagerstand],MATCH(B835,tblMaterial[SAP],0)),"?"))</f>
        <v/>
      </c>
      <c r="E835">
        <f>IF(B835="","",IFERROR(INDEX(tblMaterial[Meldebestand],MATCH(B835,tblMaterial[SAP],0)),"?"))</f>
        <v/>
      </c>
      <c r="F835">
        <f>IF(OR(B835="",NOT(ISNUMBER(D835))),"",IF(D835&lt;E835,"JA",""))</f>
        <v/>
      </c>
    </row>
    <row r="836">
      <c r="A836">
        <f>IFERROR(INDEX(tblStellplatz[Stellplatz],ROW()-1),"")</f>
        <v/>
      </c>
      <c r="B836">
        <f>IFERROR(INDEX(tblStellplatz[SAP],ROW()-1),"")</f>
        <v/>
      </c>
      <c r="C836">
        <f>IF(B836="","",IFERROR(INDEX(tblMaterial[Bezeichnung],MATCH(B836,tblMaterial[SAP],0)),"?"))</f>
        <v/>
      </c>
      <c r="D836">
        <f>IF(B836="","",IFERROR(INDEX(tblMaterial[Lagerstand],MATCH(B836,tblMaterial[SAP],0)),"?"))</f>
        <v/>
      </c>
      <c r="E836">
        <f>IF(B836="","",IFERROR(INDEX(tblMaterial[Meldebestand],MATCH(B836,tblMaterial[SAP],0)),"?"))</f>
        <v/>
      </c>
      <c r="F836">
        <f>IF(OR(B836="",NOT(ISNUMBER(D836))),"",IF(D836&lt;E836,"JA",""))</f>
        <v/>
      </c>
    </row>
    <row r="837">
      <c r="A837">
        <f>IFERROR(INDEX(tblStellplatz[Stellplatz],ROW()-1),"")</f>
        <v/>
      </c>
      <c r="B837">
        <f>IFERROR(INDEX(tblStellplatz[SAP],ROW()-1),"")</f>
        <v/>
      </c>
      <c r="C837">
        <f>IF(B837="","",IFERROR(INDEX(tblMaterial[Bezeichnung],MATCH(B837,tblMaterial[SAP],0)),"?"))</f>
        <v/>
      </c>
      <c r="D837">
        <f>IF(B837="","",IFERROR(INDEX(tblMaterial[Lagerstand],MATCH(B837,tblMaterial[SAP],0)),"?"))</f>
        <v/>
      </c>
      <c r="E837">
        <f>IF(B837="","",IFERROR(INDEX(tblMaterial[Meldebestand],MATCH(B837,tblMaterial[SAP],0)),"?"))</f>
        <v/>
      </c>
      <c r="F837">
        <f>IF(OR(B837="",NOT(ISNUMBER(D837))),"",IF(D837&lt;E837,"JA",""))</f>
        <v/>
      </c>
    </row>
    <row r="838">
      <c r="A838">
        <f>IFERROR(INDEX(tblStellplatz[Stellplatz],ROW()-1),"")</f>
        <v/>
      </c>
      <c r="B838">
        <f>IFERROR(INDEX(tblStellplatz[SAP],ROW()-1),"")</f>
        <v/>
      </c>
      <c r="C838">
        <f>IF(B838="","",IFERROR(INDEX(tblMaterial[Bezeichnung],MATCH(B838,tblMaterial[SAP],0)),"?"))</f>
        <v/>
      </c>
      <c r="D838">
        <f>IF(B838="","",IFERROR(INDEX(tblMaterial[Lagerstand],MATCH(B838,tblMaterial[SAP],0)),"?"))</f>
        <v/>
      </c>
      <c r="E838">
        <f>IF(B838="","",IFERROR(INDEX(tblMaterial[Meldebestand],MATCH(B838,tblMaterial[SAP],0)),"?"))</f>
        <v/>
      </c>
      <c r="F838">
        <f>IF(OR(B838="",NOT(ISNUMBER(D838))),"",IF(D838&lt;E838,"JA",""))</f>
        <v/>
      </c>
    </row>
    <row r="839">
      <c r="A839">
        <f>IFERROR(INDEX(tblStellplatz[Stellplatz],ROW()-1),"")</f>
        <v/>
      </c>
      <c r="B839">
        <f>IFERROR(INDEX(tblStellplatz[SAP],ROW()-1),"")</f>
        <v/>
      </c>
      <c r="C839">
        <f>IF(B839="","",IFERROR(INDEX(tblMaterial[Bezeichnung],MATCH(B839,tblMaterial[SAP],0)),"?"))</f>
        <v/>
      </c>
      <c r="D839">
        <f>IF(B839="","",IFERROR(INDEX(tblMaterial[Lagerstand],MATCH(B839,tblMaterial[SAP],0)),"?"))</f>
        <v/>
      </c>
      <c r="E839">
        <f>IF(B839="","",IFERROR(INDEX(tblMaterial[Meldebestand],MATCH(B839,tblMaterial[SAP],0)),"?"))</f>
        <v/>
      </c>
      <c r="F839">
        <f>IF(OR(B839="",NOT(ISNUMBER(D839))),"",IF(D839&lt;E839,"JA",""))</f>
        <v/>
      </c>
    </row>
    <row r="840">
      <c r="A840">
        <f>IFERROR(INDEX(tblStellplatz[Stellplatz],ROW()-1),"")</f>
        <v/>
      </c>
      <c r="B840">
        <f>IFERROR(INDEX(tblStellplatz[SAP],ROW()-1),"")</f>
        <v/>
      </c>
      <c r="C840">
        <f>IF(B840="","",IFERROR(INDEX(tblMaterial[Bezeichnung],MATCH(B840,tblMaterial[SAP],0)),"?"))</f>
        <v/>
      </c>
      <c r="D840">
        <f>IF(B840="","",IFERROR(INDEX(tblMaterial[Lagerstand],MATCH(B840,tblMaterial[SAP],0)),"?"))</f>
        <v/>
      </c>
      <c r="E840">
        <f>IF(B840="","",IFERROR(INDEX(tblMaterial[Meldebestand],MATCH(B840,tblMaterial[SAP],0)),"?"))</f>
        <v/>
      </c>
      <c r="F840">
        <f>IF(OR(B840="",NOT(ISNUMBER(D840))),"",IF(D840&lt;E840,"JA",""))</f>
        <v/>
      </c>
    </row>
    <row r="841">
      <c r="A841">
        <f>IFERROR(INDEX(tblStellplatz[Stellplatz],ROW()-1),"")</f>
        <v/>
      </c>
      <c r="B841">
        <f>IFERROR(INDEX(tblStellplatz[SAP],ROW()-1),"")</f>
        <v/>
      </c>
      <c r="C841">
        <f>IF(B841="","",IFERROR(INDEX(tblMaterial[Bezeichnung],MATCH(B841,tblMaterial[SAP],0)),"?"))</f>
        <v/>
      </c>
      <c r="D841">
        <f>IF(B841="","",IFERROR(INDEX(tblMaterial[Lagerstand],MATCH(B841,tblMaterial[SAP],0)),"?"))</f>
        <v/>
      </c>
      <c r="E841">
        <f>IF(B841="","",IFERROR(INDEX(tblMaterial[Meldebestand],MATCH(B841,tblMaterial[SAP],0)),"?"))</f>
        <v/>
      </c>
      <c r="F841">
        <f>IF(OR(B841="",NOT(ISNUMBER(D841))),"",IF(D841&lt;E841,"JA",""))</f>
        <v/>
      </c>
    </row>
    <row r="842">
      <c r="A842">
        <f>IFERROR(INDEX(tblStellplatz[Stellplatz],ROW()-1),"")</f>
        <v/>
      </c>
      <c r="B842">
        <f>IFERROR(INDEX(tblStellplatz[SAP],ROW()-1),"")</f>
        <v/>
      </c>
      <c r="C842">
        <f>IF(B842="","",IFERROR(INDEX(tblMaterial[Bezeichnung],MATCH(B842,tblMaterial[SAP],0)),"?"))</f>
        <v/>
      </c>
      <c r="D842">
        <f>IF(B842="","",IFERROR(INDEX(tblMaterial[Lagerstand],MATCH(B842,tblMaterial[SAP],0)),"?"))</f>
        <v/>
      </c>
      <c r="E842">
        <f>IF(B842="","",IFERROR(INDEX(tblMaterial[Meldebestand],MATCH(B842,tblMaterial[SAP],0)),"?"))</f>
        <v/>
      </c>
      <c r="F842">
        <f>IF(OR(B842="",NOT(ISNUMBER(D842))),"",IF(D842&lt;E842,"JA",""))</f>
        <v/>
      </c>
    </row>
    <row r="843">
      <c r="A843">
        <f>IFERROR(INDEX(tblStellplatz[Stellplatz],ROW()-1),"")</f>
        <v/>
      </c>
      <c r="B843">
        <f>IFERROR(INDEX(tblStellplatz[SAP],ROW()-1),"")</f>
        <v/>
      </c>
      <c r="C843">
        <f>IF(B843="","",IFERROR(INDEX(tblMaterial[Bezeichnung],MATCH(B843,tblMaterial[SAP],0)),"?"))</f>
        <v/>
      </c>
      <c r="D843">
        <f>IF(B843="","",IFERROR(INDEX(tblMaterial[Lagerstand],MATCH(B843,tblMaterial[SAP],0)),"?"))</f>
        <v/>
      </c>
      <c r="E843">
        <f>IF(B843="","",IFERROR(INDEX(tblMaterial[Meldebestand],MATCH(B843,tblMaterial[SAP],0)),"?"))</f>
        <v/>
      </c>
      <c r="F843">
        <f>IF(OR(B843="",NOT(ISNUMBER(D843))),"",IF(D843&lt;E843,"JA",""))</f>
        <v/>
      </c>
    </row>
    <row r="844">
      <c r="A844">
        <f>IFERROR(INDEX(tblStellplatz[Stellplatz],ROW()-1),"")</f>
        <v/>
      </c>
      <c r="B844">
        <f>IFERROR(INDEX(tblStellplatz[SAP],ROW()-1),"")</f>
        <v/>
      </c>
      <c r="C844">
        <f>IF(B844="","",IFERROR(INDEX(tblMaterial[Bezeichnung],MATCH(B844,tblMaterial[SAP],0)),"?"))</f>
        <v/>
      </c>
      <c r="D844">
        <f>IF(B844="","",IFERROR(INDEX(tblMaterial[Lagerstand],MATCH(B844,tblMaterial[SAP],0)),"?"))</f>
        <v/>
      </c>
      <c r="E844">
        <f>IF(B844="","",IFERROR(INDEX(tblMaterial[Meldebestand],MATCH(B844,tblMaterial[SAP],0)),"?"))</f>
        <v/>
      </c>
      <c r="F844">
        <f>IF(OR(B844="",NOT(ISNUMBER(D844))),"",IF(D844&lt;E844,"JA",""))</f>
        <v/>
      </c>
    </row>
    <row r="845">
      <c r="A845">
        <f>IFERROR(INDEX(tblStellplatz[Stellplatz],ROW()-1),"")</f>
        <v/>
      </c>
      <c r="B845">
        <f>IFERROR(INDEX(tblStellplatz[SAP],ROW()-1),"")</f>
        <v/>
      </c>
      <c r="C845">
        <f>IF(B845="","",IFERROR(INDEX(tblMaterial[Bezeichnung],MATCH(B845,tblMaterial[SAP],0)),"?"))</f>
        <v/>
      </c>
      <c r="D845">
        <f>IF(B845="","",IFERROR(INDEX(tblMaterial[Lagerstand],MATCH(B845,tblMaterial[SAP],0)),"?"))</f>
        <v/>
      </c>
      <c r="E845">
        <f>IF(B845="","",IFERROR(INDEX(tblMaterial[Meldebestand],MATCH(B845,tblMaterial[SAP],0)),"?"))</f>
        <v/>
      </c>
      <c r="F845">
        <f>IF(OR(B845="",NOT(ISNUMBER(D845))),"",IF(D845&lt;E845,"JA",""))</f>
        <v/>
      </c>
    </row>
    <row r="846">
      <c r="A846">
        <f>IFERROR(INDEX(tblStellplatz[Stellplatz],ROW()-1),"")</f>
        <v/>
      </c>
      <c r="B846">
        <f>IFERROR(INDEX(tblStellplatz[SAP],ROW()-1),"")</f>
        <v/>
      </c>
      <c r="C846">
        <f>IF(B846="","",IFERROR(INDEX(tblMaterial[Bezeichnung],MATCH(B846,tblMaterial[SAP],0)),"?"))</f>
        <v/>
      </c>
      <c r="D846">
        <f>IF(B846="","",IFERROR(INDEX(tblMaterial[Lagerstand],MATCH(B846,tblMaterial[SAP],0)),"?"))</f>
        <v/>
      </c>
      <c r="E846">
        <f>IF(B846="","",IFERROR(INDEX(tblMaterial[Meldebestand],MATCH(B846,tblMaterial[SAP],0)),"?"))</f>
        <v/>
      </c>
      <c r="F846">
        <f>IF(OR(B846="",NOT(ISNUMBER(D846))),"",IF(D846&lt;E846,"JA",""))</f>
        <v/>
      </c>
    </row>
    <row r="847">
      <c r="A847">
        <f>IFERROR(INDEX(tblStellplatz[Stellplatz],ROW()-1),"")</f>
        <v/>
      </c>
      <c r="B847">
        <f>IFERROR(INDEX(tblStellplatz[SAP],ROW()-1),"")</f>
        <v/>
      </c>
      <c r="C847">
        <f>IF(B847="","",IFERROR(INDEX(tblMaterial[Bezeichnung],MATCH(B847,tblMaterial[SAP],0)),"?"))</f>
        <v/>
      </c>
      <c r="D847">
        <f>IF(B847="","",IFERROR(INDEX(tblMaterial[Lagerstand],MATCH(B847,tblMaterial[SAP],0)),"?"))</f>
        <v/>
      </c>
      <c r="E847">
        <f>IF(B847="","",IFERROR(INDEX(tblMaterial[Meldebestand],MATCH(B847,tblMaterial[SAP],0)),"?"))</f>
        <v/>
      </c>
      <c r="F847">
        <f>IF(OR(B847="",NOT(ISNUMBER(D847))),"",IF(D847&lt;E847,"JA",""))</f>
        <v/>
      </c>
    </row>
    <row r="848">
      <c r="A848">
        <f>IFERROR(INDEX(tblStellplatz[Stellplatz],ROW()-1),"")</f>
        <v/>
      </c>
      <c r="B848">
        <f>IFERROR(INDEX(tblStellplatz[SAP],ROW()-1),"")</f>
        <v/>
      </c>
      <c r="C848">
        <f>IF(B848="","",IFERROR(INDEX(tblMaterial[Bezeichnung],MATCH(B848,tblMaterial[SAP],0)),"?"))</f>
        <v/>
      </c>
      <c r="D848">
        <f>IF(B848="","",IFERROR(INDEX(tblMaterial[Lagerstand],MATCH(B848,tblMaterial[SAP],0)),"?"))</f>
        <v/>
      </c>
      <c r="E848">
        <f>IF(B848="","",IFERROR(INDEX(tblMaterial[Meldebestand],MATCH(B848,tblMaterial[SAP],0)),"?"))</f>
        <v/>
      </c>
      <c r="F848">
        <f>IF(OR(B848="",NOT(ISNUMBER(D848))),"",IF(D848&lt;E848,"JA",""))</f>
        <v/>
      </c>
    </row>
    <row r="849">
      <c r="A849">
        <f>IFERROR(INDEX(tblStellplatz[Stellplatz],ROW()-1),"")</f>
        <v/>
      </c>
      <c r="B849">
        <f>IFERROR(INDEX(tblStellplatz[SAP],ROW()-1),"")</f>
        <v/>
      </c>
      <c r="C849">
        <f>IF(B849="","",IFERROR(INDEX(tblMaterial[Bezeichnung],MATCH(B849,tblMaterial[SAP],0)),"?"))</f>
        <v/>
      </c>
      <c r="D849">
        <f>IF(B849="","",IFERROR(INDEX(tblMaterial[Lagerstand],MATCH(B849,tblMaterial[SAP],0)),"?"))</f>
        <v/>
      </c>
      <c r="E849">
        <f>IF(B849="","",IFERROR(INDEX(tblMaterial[Meldebestand],MATCH(B849,tblMaterial[SAP],0)),"?"))</f>
        <v/>
      </c>
      <c r="F849">
        <f>IF(OR(B849="",NOT(ISNUMBER(D849))),"",IF(D849&lt;E849,"JA",""))</f>
        <v/>
      </c>
    </row>
    <row r="850">
      <c r="A850">
        <f>IFERROR(INDEX(tblStellplatz[Stellplatz],ROW()-1),"")</f>
        <v/>
      </c>
      <c r="B850">
        <f>IFERROR(INDEX(tblStellplatz[SAP],ROW()-1),"")</f>
        <v/>
      </c>
      <c r="C850">
        <f>IF(B850="","",IFERROR(INDEX(tblMaterial[Bezeichnung],MATCH(B850,tblMaterial[SAP],0)),"?"))</f>
        <v/>
      </c>
      <c r="D850">
        <f>IF(B850="","",IFERROR(INDEX(tblMaterial[Lagerstand],MATCH(B850,tblMaterial[SAP],0)),"?"))</f>
        <v/>
      </c>
      <c r="E850">
        <f>IF(B850="","",IFERROR(INDEX(tblMaterial[Meldebestand],MATCH(B850,tblMaterial[SAP],0)),"?"))</f>
        <v/>
      </c>
      <c r="F850">
        <f>IF(OR(B850="",NOT(ISNUMBER(D850))),"",IF(D850&lt;E850,"JA",""))</f>
        <v/>
      </c>
    </row>
    <row r="851">
      <c r="A851">
        <f>IFERROR(INDEX(tblStellplatz[Stellplatz],ROW()-1),"")</f>
        <v/>
      </c>
      <c r="B851">
        <f>IFERROR(INDEX(tblStellplatz[SAP],ROW()-1),"")</f>
        <v/>
      </c>
      <c r="C851">
        <f>IF(B851="","",IFERROR(INDEX(tblMaterial[Bezeichnung],MATCH(B851,tblMaterial[SAP],0)),"?"))</f>
        <v/>
      </c>
      <c r="D851">
        <f>IF(B851="","",IFERROR(INDEX(tblMaterial[Lagerstand],MATCH(B851,tblMaterial[SAP],0)),"?"))</f>
        <v/>
      </c>
      <c r="E851">
        <f>IF(B851="","",IFERROR(INDEX(tblMaterial[Meldebestand],MATCH(B851,tblMaterial[SAP],0)),"?"))</f>
        <v/>
      </c>
      <c r="F851">
        <f>IF(OR(B851="",NOT(ISNUMBER(D851))),"",IF(D851&lt;E851,"JA",""))</f>
        <v/>
      </c>
    </row>
    <row r="852">
      <c r="A852">
        <f>IFERROR(INDEX(tblStellplatz[Stellplatz],ROW()-1),"")</f>
        <v/>
      </c>
      <c r="B852">
        <f>IFERROR(INDEX(tblStellplatz[SAP],ROW()-1),"")</f>
        <v/>
      </c>
      <c r="C852">
        <f>IF(B852="","",IFERROR(INDEX(tblMaterial[Bezeichnung],MATCH(B852,tblMaterial[SAP],0)),"?"))</f>
        <v/>
      </c>
      <c r="D852">
        <f>IF(B852="","",IFERROR(INDEX(tblMaterial[Lagerstand],MATCH(B852,tblMaterial[SAP],0)),"?"))</f>
        <v/>
      </c>
      <c r="E852">
        <f>IF(B852="","",IFERROR(INDEX(tblMaterial[Meldebestand],MATCH(B852,tblMaterial[SAP],0)),"?"))</f>
        <v/>
      </c>
      <c r="F852">
        <f>IF(OR(B852="",NOT(ISNUMBER(D852))),"",IF(D852&lt;E852,"JA",""))</f>
        <v/>
      </c>
    </row>
    <row r="853">
      <c r="A853">
        <f>IFERROR(INDEX(tblStellplatz[Stellplatz],ROW()-1),"")</f>
        <v/>
      </c>
      <c r="B853">
        <f>IFERROR(INDEX(tblStellplatz[SAP],ROW()-1),"")</f>
        <v/>
      </c>
      <c r="C853">
        <f>IF(B853="","",IFERROR(INDEX(tblMaterial[Bezeichnung],MATCH(B853,tblMaterial[SAP],0)),"?"))</f>
        <v/>
      </c>
      <c r="D853">
        <f>IF(B853="","",IFERROR(INDEX(tblMaterial[Lagerstand],MATCH(B853,tblMaterial[SAP],0)),"?"))</f>
        <v/>
      </c>
      <c r="E853">
        <f>IF(B853="","",IFERROR(INDEX(tblMaterial[Meldebestand],MATCH(B853,tblMaterial[SAP],0)),"?"))</f>
        <v/>
      </c>
      <c r="F853">
        <f>IF(OR(B853="",NOT(ISNUMBER(D853))),"",IF(D853&lt;E853,"JA",""))</f>
        <v/>
      </c>
    </row>
    <row r="854">
      <c r="A854">
        <f>IFERROR(INDEX(tblStellplatz[Stellplatz],ROW()-1),"")</f>
        <v/>
      </c>
      <c r="B854">
        <f>IFERROR(INDEX(tblStellplatz[SAP],ROW()-1),"")</f>
        <v/>
      </c>
      <c r="C854">
        <f>IF(B854="","",IFERROR(INDEX(tblMaterial[Bezeichnung],MATCH(B854,tblMaterial[SAP],0)),"?"))</f>
        <v/>
      </c>
      <c r="D854">
        <f>IF(B854="","",IFERROR(INDEX(tblMaterial[Lagerstand],MATCH(B854,tblMaterial[SAP],0)),"?"))</f>
        <v/>
      </c>
      <c r="E854">
        <f>IF(B854="","",IFERROR(INDEX(tblMaterial[Meldebestand],MATCH(B854,tblMaterial[SAP],0)),"?"))</f>
        <v/>
      </c>
      <c r="F854">
        <f>IF(OR(B854="",NOT(ISNUMBER(D854))),"",IF(D854&lt;E854,"JA",""))</f>
        <v/>
      </c>
    </row>
    <row r="855">
      <c r="A855">
        <f>IFERROR(INDEX(tblStellplatz[Stellplatz],ROW()-1),"")</f>
        <v/>
      </c>
      <c r="B855">
        <f>IFERROR(INDEX(tblStellplatz[SAP],ROW()-1),"")</f>
        <v/>
      </c>
      <c r="C855">
        <f>IF(B855="","",IFERROR(INDEX(tblMaterial[Bezeichnung],MATCH(B855,tblMaterial[SAP],0)),"?"))</f>
        <v/>
      </c>
      <c r="D855">
        <f>IF(B855="","",IFERROR(INDEX(tblMaterial[Lagerstand],MATCH(B855,tblMaterial[SAP],0)),"?"))</f>
        <v/>
      </c>
      <c r="E855">
        <f>IF(B855="","",IFERROR(INDEX(tblMaterial[Meldebestand],MATCH(B855,tblMaterial[SAP],0)),"?"))</f>
        <v/>
      </c>
      <c r="F855">
        <f>IF(OR(B855="",NOT(ISNUMBER(D855))),"",IF(D855&lt;E855,"JA",""))</f>
        <v/>
      </c>
    </row>
    <row r="856">
      <c r="A856">
        <f>IFERROR(INDEX(tblStellplatz[Stellplatz],ROW()-1),"")</f>
        <v/>
      </c>
      <c r="B856">
        <f>IFERROR(INDEX(tblStellplatz[SAP],ROW()-1),"")</f>
        <v/>
      </c>
      <c r="C856">
        <f>IF(B856="","",IFERROR(INDEX(tblMaterial[Bezeichnung],MATCH(B856,tblMaterial[SAP],0)),"?"))</f>
        <v/>
      </c>
      <c r="D856">
        <f>IF(B856="","",IFERROR(INDEX(tblMaterial[Lagerstand],MATCH(B856,tblMaterial[SAP],0)),"?"))</f>
        <v/>
      </c>
      <c r="E856">
        <f>IF(B856="","",IFERROR(INDEX(tblMaterial[Meldebestand],MATCH(B856,tblMaterial[SAP],0)),"?"))</f>
        <v/>
      </c>
      <c r="F856">
        <f>IF(OR(B856="",NOT(ISNUMBER(D856))),"",IF(D856&lt;E856,"JA",""))</f>
        <v/>
      </c>
    </row>
    <row r="857">
      <c r="A857">
        <f>IFERROR(INDEX(tblStellplatz[Stellplatz],ROW()-1),"")</f>
        <v/>
      </c>
      <c r="B857">
        <f>IFERROR(INDEX(tblStellplatz[SAP],ROW()-1),"")</f>
        <v/>
      </c>
      <c r="C857">
        <f>IF(B857="","",IFERROR(INDEX(tblMaterial[Bezeichnung],MATCH(B857,tblMaterial[SAP],0)),"?"))</f>
        <v/>
      </c>
      <c r="D857">
        <f>IF(B857="","",IFERROR(INDEX(tblMaterial[Lagerstand],MATCH(B857,tblMaterial[SAP],0)),"?"))</f>
        <v/>
      </c>
      <c r="E857">
        <f>IF(B857="","",IFERROR(INDEX(tblMaterial[Meldebestand],MATCH(B857,tblMaterial[SAP],0)),"?"))</f>
        <v/>
      </c>
      <c r="F857">
        <f>IF(OR(B857="",NOT(ISNUMBER(D857))),"",IF(D857&lt;E857,"JA",""))</f>
        <v/>
      </c>
    </row>
    <row r="858">
      <c r="A858">
        <f>IFERROR(INDEX(tblStellplatz[Stellplatz],ROW()-1),"")</f>
        <v/>
      </c>
      <c r="B858">
        <f>IFERROR(INDEX(tblStellplatz[SAP],ROW()-1),"")</f>
        <v/>
      </c>
      <c r="C858">
        <f>IF(B858="","",IFERROR(INDEX(tblMaterial[Bezeichnung],MATCH(B858,tblMaterial[SAP],0)),"?"))</f>
        <v/>
      </c>
      <c r="D858">
        <f>IF(B858="","",IFERROR(INDEX(tblMaterial[Lagerstand],MATCH(B858,tblMaterial[SAP],0)),"?"))</f>
        <v/>
      </c>
      <c r="E858">
        <f>IF(B858="","",IFERROR(INDEX(tblMaterial[Meldebestand],MATCH(B858,tblMaterial[SAP],0)),"?"))</f>
        <v/>
      </c>
      <c r="F858">
        <f>IF(OR(B858="",NOT(ISNUMBER(D858))),"",IF(D858&lt;E858,"JA",""))</f>
        <v/>
      </c>
    </row>
    <row r="859">
      <c r="A859">
        <f>IFERROR(INDEX(tblStellplatz[Stellplatz],ROW()-1),"")</f>
        <v/>
      </c>
      <c r="B859">
        <f>IFERROR(INDEX(tblStellplatz[SAP],ROW()-1),"")</f>
        <v/>
      </c>
      <c r="C859">
        <f>IF(B859="","",IFERROR(INDEX(tblMaterial[Bezeichnung],MATCH(B859,tblMaterial[SAP],0)),"?"))</f>
        <v/>
      </c>
      <c r="D859">
        <f>IF(B859="","",IFERROR(INDEX(tblMaterial[Lagerstand],MATCH(B859,tblMaterial[SAP],0)),"?"))</f>
        <v/>
      </c>
      <c r="E859">
        <f>IF(B859="","",IFERROR(INDEX(tblMaterial[Meldebestand],MATCH(B859,tblMaterial[SAP],0)),"?"))</f>
        <v/>
      </c>
      <c r="F859">
        <f>IF(OR(B859="",NOT(ISNUMBER(D859))),"",IF(D859&lt;E859,"JA",""))</f>
        <v/>
      </c>
    </row>
    <row r="860">
      <c r="A860">
        <f>IFERROR(INDEX(tblStellplatz[Stellplatz],ROW()-1),"")</f>
        <v/>
      </c>
      <c r="B860">
        <f>IFERROR(INDEX(tblStellplatz[SAP],ROW()-1),"")</f>
        <v/>
      </c>
      <c r="C860">
        <f>IF(B860="","",IFERROR(INDEX(tblMaterial[Bezeichnung],MATCH(B860,tblMaterial[SAP],0)),"?"))</f>
        <v/>
      </c>
      <c r="D860">
        <f>IF(B860="","",IFERROR(INDEX(tblMaterial[Lagerstand],MATCH(B860,tblMaterial[SAP],0)),"?"))</f>
        <v/>
      </c>
      <c r="E860">
        <f>IF(B860="","",IFERROR(INDEX(tblMaterial[Meldebestand],MATCH(B860,tblMaterial[SAP],0)),"?"))</f>
        <v/>
      </c>
      <c r="F860">
        <f>IF(OR(B860="",NOT(ISNUMBER(D860))),"",IF(D860&lt;E860,"JA",""))</f>
        <v/>
      </c>
    </row>
    <row r="861">
      <c r="A861">
        <f>IFERROR(INDEX(tblStellplatz[Stellplatz],ROW()-1),"")</f>
        <v/>
      </c>
      <c r="B861">
        <f>IFERROR(INDEX(tblStellplatz[SAP],ROW()-1),"")</f>
        <v/>
      </c>
      <c r="C861">
        <f>IF(B861="","",IFERROR(INDEX(tblMaterial[Bezeichnung],MATCH(B861,tblMaterial[SAP],0)),"?"))</f>
        <v/>
      </c>
      <c r="D861">
        <f>IF(B861="","",IFERROR(INDEX(tblMaterial[Lagerstand],MATCH(B861,tblMaterial[SAP],0)),"?"))</f>
        <v/>
      </c>
      <c r="E861">
        <f>IF(B861="","",IFERROR(INDEX(tblMaterial[Meldebestand],MATCH(B861,tblMaterial[SAP],0)),"?"))</f>
        <v/>
      </c>
      <c r="F861">
        <f>IF(OR(B861="",NOT(ISNUMBER(D861))),"",IF(D861&lt;E861,"JA",""))</f>
        <v/>
      </c>
    </row>
    <row r="862">
      <c r="A862">
        <f>IFERROR(INDEX(tblStellplatz[Stellplatz],ROW()-1),"")</f>
        <v/>
      </c>
      <c r="B862">
        <f>IFERROR(INDEX(tblStellplatz[SAP],ROW()-1),"")</f>
        <v/>
      </c>
      <c r="C862">
        <f>IF(B862="","",IFERROR(INDEX(tblMaterial[Bezeichnung],MATCH(B862,tblMaterial[SAP],0)),"?"))</f>
        <v/>
      </c>
      <c r="D862">
        <f>IF(B862="","",IFERROR(INDEX(tblMaterial[Lagerstand],MATCH(B862,tblMaterial[SAP],0)),"?"))</f>
        <v/>
      </c>
      <c r="E862">
        <f>IF(B862="","",IFERROR(INDEX(tblMaterial[Meldebestand],MATCH(B862,tblMaterial[SAP],0)),"?"))</f>
        <v/>
      </c>
      <c r="F862">
        <f>IF(OR(B862="",NOT(ISNUMBER(D862))),"",IF(D862&lt;E862,"JA",""))</f>
        <v/>
      </c>
    </row>
    <row r="863">
      <c r="A863">
        <f>IFERROR(INDEX(tblStellplatz[Stellplatz],ROW()-1),"")</f>
        <v/>
      </c>
      <c r="B863">
        <f>IFERROR(INDEX(tblStellplatz[SAP],ROW()-1),"")</f>
        <v/>
      </c>
      <c r="C863">
        <f>IF(B863="","",IFERROR(INDEX(tblMaterial[Bezeichnung],MATCH(B863,tblMaterial[SAP],0)),"?"))</f>
        <v/>
      </c>
      <c r="D863">
        <f>IF(B863="","",IFERROR(INDEX(tblMaterial[Lagerstand],MATCH(B863,tblMaterial[SAP],0)),"?"))</f>
        <v/>
      </c>
      <c r="E863">
        <f>IF(B863="","",IFERROR(INDEX(tblMaterial[Meldebestand],MATCH(B863,tblMaterial[SAP],0)),"?"))</f>
        <v/>
      </c>
      <c r="F863">
        <f>IF(OR(B863="",NOT(ISNUMBER(D863))),"",IF(D863&lt;E863,"JA",""))</f>
        <v/>
      </c>
    </row>
    <row r="864">
      <c r="A864">
        <f>IFERROR(INDEX(tblStellplatz[Stellplatz],ROW()-1),"")</f>
        <v/>
      </c>
      <c r="B864">
        <f>IFERROR(INDEX(tblStellplatz[SAP],ROW()-1),"")</f>
        <v/>
      </c>
      <c r="C864">
        <f>IF(B864="","",IFERROR(INDEX(tblMaterial[Bezeichnung],MATCH(B864,tblMaterial[SAP],0)),"?"))</f>
        <v/>
      </c>
      <c r="D864">
        <f>IF(B864="","",IFERROR(INDEX(tblMaterial[Lagerstand],MATCH(B864,tblMaterial[SAP],0)),"?"))</f>
        <v/>
      </c>
      <c r="E864">
        <f>IF(B864="","",IFERROR(INDEX(tblMaterial[Meldebestand],MATCH(B864,tblMaterial[SAP],0)),"?"))</f>
        <v/>
      </c>
      <c r="F864">
        <f>IF(OR(B864="",NOT(ISNUMBER(D864))),"",IF(D864&lt;E864,"JA",""))</f>
        <v/>
      </c>
    </row>
    <row r="865">
      <c r="A865">
        <f>IFERROR(INDEX(tblStellplatz[Stellplatz],ROW()-1),"")</f>
        <v/>
      </c>
      <c r="B865">
        <f>IFERROR(INDEX(tblStellplatz[SAP],ROW()-1),"")</f>
        <v/>
      </c>
      <c r="C865">
        <f>IF(B865="","",IFERROR(INDEX(tblMaterial[Bezeichnung],MATCH(B865,tblMaterial[SAP],0)),"?"))</f>
        <v/>
      </c>
      <c r="D865">
        <f>IF(B865="","",IFERROR(INDEX(tblMaterial[Lagerstand],MATCH(B865,tblMaterial[SAP],0)),"?"))</f>
        <v/>
      </c>
      <c r="E865">
        <f>IF(B865="","",IFERROR(INDEX(tblMaterial[Meldebestand],MATCH(B865,tblMaterial[SAP],0)),"?"))</f>
        <v/>
      </c>
      <c r="F865">
        <f>IF(OR(B865="",NOT(ISNUMBER(D865))),"",IF(D865&lt;E865,"JA",""))</f>
        <v/>
      </c>
    </row>
    <row r="866">
      <c r="A866">
        <f>IFERROR(INDEX(tblStellplatz[Stellplatz],ROW()-1),"")</f>
        <v/>
      </c>
      <c r="B866">
        <f>IFERROR(INDEX(tblStellplatz[SAP],ROW()-1),"")</f>
        <v/>
      </c>
      <c r="C866">
        <f>IF(B866="","",IFERROR(INDEX(tblMaterial[Bezeichnung],MATCH(B866,tblMaterial[SAP],0)),"?"))</f>
        <v/>
      </c>
      <c r="D866">
        <f>IF(B866="","",IFERROR(INDEX(tblMaterial[Lagerstand],MATCH(B866,tblMaterial[SAP],0)),"?"))</f>
        <v/>
      </c>
      <c r="E866">
        <f>IF(B866="","",IFERROR(INDEX(tblMaterial[Meldebestand],MATCH(B866,tblMaterial[SAP],0)),"?"))</f>
        <v/>
      </c>
      <c r="F866">
        <f>IF(OR(B866="",NOT(ISNUMBER(D866))),"",IF(D866&lt;E866,"JA",""))</f>
        <v/>
      </c>
    </row>
    <row r="867">
      <c r="A867">
        <f>IFERROR(INDEX(tblStellplatz[Stellplatz],ROW()-1),"")</f>
        <v/>
      </c>
      <c r="B867">
        <f>IFERROR(INDEX(tblStellplatz[SAP],ROW()-1),"")</f>
        <v/>
      </c>
      <c r="C867">
        <f>IF(B867="","",IFERROR(INDEX(tblMaterial[Bezeichnung],MATCH(B867,tblMaterial[SAP],0)),"?"))</f>
        <v/>
      </c>
      <c r="D867">
        <f>IF(B867="","",IFERROR(INDEX(tblMaterial[Lagerstand],MATCH(B867,tblMaterial[SAP],0)),"?"))</f>
        <v/>
      </c>
      <c r="E867">
        <f>IF(B867="","",IFERROR(INDEX(tblMaterial[Meldebestand],MATCH(B867,tblMaterial[SAP],0)),"?"))</f>
        <v/>
      </c>
      <c r="F867">
        <f>IF(OR(B867="",NOT(ISNUMBER(D867))),"",IF(D867&lt;E867,"JA",""))</f>
        <v/>
      </c>
    </row>
    <row r="868">
      <c r="A868">
        <f>IFERROR(INDEX(tblStellplatz[Stellplatz],ROW()-1),"")</f>
        <v/>
      </c>
      <c r="B868">
        <f>IFERROR(INDEX(tblStellplatz[SAP],ROW()-1),"")</f>
        <v/>
      </c>
      <c r="C868">
        <f>IF(B868="","",IFERROR(INDEX(tblMaterial[Bezeichnung],MATCH(B868,tblMaterial[SAP],0)),"?"))</f>
        <v/>
      </c>
      <c r="D868">
        <f>IF(B868="","",IFERROR(INDEX(tblMaterial[Lagerstand],MATCH(B868,tblMaterial[SAP],0)),"?"))</f>
        <v/>
      </c>
      <c r="E868">
        <f>IF(B868="","",IFERROR(INDEX(tblMaterial[Meldebestand],MATCH(B868,tblMaterial[SAP],0)),"?"))</f>
        <v/>
      </c>
      <c r="F868">
        <f>IF(OR(B868="",NOT(ISNUMBER(D868))),"",IF(D868&lt;E868,"JA",""))</f>
        <v/>
      </c>
    </row>
    <row r="869">
      <c r="A869">
        <f>IFERROR(INDEX(tblStellplatz[Stellplatz],ROW()-1),"")</f>
        <v/>
      </c>
      <c r="B869">
        <f>IFERROR(INDEX(tblStellplatz[SAP],ROW()-1),"")</f>
        <v/>
      </c>
      <c r="C869">
        <f>IF(B869="","",IFERROR(INDEX(tblMaterial[Bezeichnung],MATCH(B869,tblMaterial[SAP],0)),"?"))</f>
        <v/>
      </c>
      <c r="D869">
        <f>IF(B869="","",IFERROR(INDEX(tblMaterial[Lagerstand],MATCH(B869,tblMaterial[SAP],0)),"?"))</f>
        <v/>
      </c>
      <c r="E869">
        <f>IF(B869="","",IFERROR(INDEX(tblMaterial[Meldebestand],MATCH(B869,tblMaterial[SAP],0)),"?"))</f>
        <v/>
      </c>
      <c r="F869">
        <f>IF(OR(B869="",NOT(ISNUMBER(D869))),"",IF(D869&lt;E869,"JA",""))</f>
        <v/>
      </c>
    </row>
    <row r="870">
      <c r="A870">
        <f>IFERROR(INDEX(tblStellplatz[Stellplatz],ROW()-1),"")</f>
        <v/>
      </c>
      <c r="B870">
        <f>IFERROR(INDEX(tblStellplatz[SAP],ROW()-1),"")</f>
        <v/>
      </c>
      <c r="C870">
        <f>IF(B870="","",IFERROR(INDEX(tblMaterial[Bezeichnung],MATCH(B870,tblMaterial[SAP],0)),"?"))</f>
        <v/>
      </c>
      <c r="D870">
        <f>IF(B870="","",IFERROR(INDEX(tblMaterial[Lagerstand],MATCH(B870,tblMaterial[SAP],0)),"?"))</f>
        <v/>
      </c>
      <c r="E870">
        <f>IF(B870="","",IFERROR(INDEX(tblMaterial[Meldebestand],MATCH(B870,tblMaterial[SAP],0)),"?"))</f>
        <v/>
      </c>
      <c r="F870">
        <f>IF(OR(B870="",NOT(ISNUMBER(D870))),"",IF(D870&lt;E870,"JA",""))</f>
        <v/>
      </c>
    </row>
    <row r="871">
      <c r="A871">
        <f>IFERROR(INDEX(tblStellplatz[Stellplatz],ROW()-1),"")</f>
        <v/>
      </c>
      <c r="B871">
        <f>IFERROR(INDEX(tblStellplatz[SAP],ROW()-1),"")</f>
        <v/>
      </c>
      <c r="C871">
        <f>IF(B871="","",IFERROR(INDEX(tblMaterial[Bezeichnung],MATCH(B871,tblMaterial[SAP],0)),"?"))</f>
        <v/>
      </c>
      <c r="D871">
        <f>IF(B871="","",IFERROR(INDEX(tblMaterial[Lagerstand],MATCH(B871,tblMaterial[SAP],0)),"?"))</f>
        <v/>
      </c>
      <c r="E871">
        <f>IF(B871="","",IFERROR(INDEX(tblMaterial[Meldebestand],MATCH(B871,tblMaterial[SAP],0)),"?"))</f>
        <v/>
      </c>
      <c r="F871">
        <f>IF(OR(B871="",NOT(ISNUMBER(D871))),"",IF(D871&lt;E871,"JA",""))</f>
        <v/>
      </c>
    </row>
    <row r="872">
      <c r="A872">
        <f>IFERROR(INDEX(tblStellplatz[Stellplatz],ROW()-1),"")</f>
        <v/>
      </c>
      <c r="B872">
        <f>IFERROR(INDEX(tblStellplatz[SAP],ROW()-1),"")</f>
        <v/>
      </c>
      <c r="C872">
        <f>IF(B872="","",IFERROR(INDEX(tblMaterial[Bezeichnung],MATCH(B872,tblMaterial[SAP],0)),"?"))</f>
        <v/>
      </c>
      <c r="D872">
        <f>IF(B872="","",IFERROR(INDEX(tblMaterial[Lagerstand],MATCH(B872,tblMaterial[SAP],0)),"?"))</f>
        <v/>
      </c>
      <c r="E872">
        <f>IF(B872="","",IFERROR(INDEX(tblMaterial[Meldebestand],MATCH(B872,tblMaterial[SAP],0)),"?"))</f>
        <v/>
      </c>
      <c r="F872">
        <f>IF(OR(B872="",NOT(ISNUMBER(D872))),"",IF(D872&lt;E872,"JA",""))</f>
        <v/>
      </c>
    </row>
    <row r="873">
      <c r="A873">
        <f>IFERROR(INDEX(tblStellplatz[Stellplatz],ROW()-1),"")</f>
        <v/>
      </c>
      <c r="B873">
        <f>IFERROR(INDEX(tblStellplatz[SAP],ROW()-1),"")</f>
        <v/>
      </c>
      <c r="C873">
        <f>IF(B873="","",IFERROR(INDEX(tblMaterial[Bezeichnung],MATCH(B873,tblMaterial[SAP],0)),"?"))</f>
        <v/>
      </c>
      <c r="D873">
        <f>IF(B873="","",IFERROR(INDEX(tblMaterial[Lagerstand],MATCH(B873,tblMaterial[SAP],0)),"?"))</f>
        <v/>
      </c>
      <c r="E873">
        <f>IF(B873="","",IFERROR(INDEX(tblMaterial[Meldebestand],MATCH(B873,tblMaterial[SAP],0)),"?"))</f>
        <v/>
      </c>
      <c r="F873">
        <f>IF(OR(B873="",NOT(ISNUMBER(D873))),"",IF(D873&lt;E873,"JA",""))</f>
        <v/>
      </c>
    </row>
    <row r="874">
      <c r="A874">
        <f>IFERROR(INDEX(tblStellplatz[Stellplatz],ROW()-1),"")</f>
        <v/>
      </c>
      <c r="B874">
        <f>IFERROR(INDEX(tblStellplatz[SAP],ROW()-1),"")</f>
        <v/>
      </c>
      <c r="C874">
        <f>IF(B874="","",IFERROR(INDEX(tblMaterial[Bezeichnung],MATCH(B874,tblMaterial[SAP],0)),"?"))</f>
        <v/>
      </c>
      <c r="D874">
        <f>IF(B874="","",IFERROR(INDEX(tblMaterial[Lagerstand],MATCH(B874,tblMaterial[SAP],0)),"?"))</f>
        <v/>
      </c>
      <c r="E874">
        <f>IF(B874="","",IFERROR(INDEX(tblMaterial[Meldebestand],MATCH(B874,tblMaterial[SAP],0)),"?"))</f>
        <v/>
      </c>
      <c r="F874">
        <f>IF(OR(B874="",NOT(ISNUMBER(D874))),"",IF(D874&lt;E874,"JA",""))</f>
        <v/>
      </c>
    </row>
    <row r="875">
      <c r="A875">
        <f>IFERROR(INDEX(tblStellplatz[Stellplatz],ROW()-1),"")</f>
        <v/>
      </c>
      <c r="B875">
        <f>IFERROR(INDEX(tblStellplatz[SAP],ROW()-1),"")</f>
        <v/>
      </c>
      <c r="C875">
        <f>IF(B875="","",IFERROR(INDEX(tblMaterial[Bezeichnung],MATCH(B875,tblMaterial[SAP],0)),"?"))</f>
        <v/>
      </c>
      <c r="D875">
        <f>IF(B875="","",IFERROR(INDEX(tblMaterial[Lagerstand],MATCH(B875,tblMaterial[SAP],0)),"?"))</f>
        <v/>
      </c>
      <c r="E875">
        <f>IF(B875="","",IFERROR(INDEX(tblMaterial[Meldebestand],MATCH(B875,tblMaterial[SAP],0)),"?"))</f>
        <v/>
      </c>
      <c r="F875">
        <f>IF(OR(B875="",NOT(ISNUMBER(D875))),"",IF(D875&lt;E875,"JA",""))</f>
        <v/>
      </c>
    </row>
    <row r="876">
      <c r="A876">
        <f>IFERROR(INDEX(tblStellplatz[Stellplatz],ROW()-1),"")</f>
        <v/>
      </c>
      <c r="B876">
        <f>IFERROR(INDEX(tblStellplatz[SAP],ROW()-1),"")</f>
        <v/>
      </c>
      <c r="C876">
        <f>IF(B876="","",IFERROR(INDEX(tblMaterial[Bezeichnung],MATCH(B876,tblMaterial[SAP],0)),"?"))</f>
        <v/>
      </c>
      <c r="D876">
        <f>IF(B876="","",IFERROR(INDEX(tblMaterial[Lagerstand],MATCH(B876,tblMaterial[SAP],0)),"?"))</f>
        <v/>
      </c>
      <c r="E876">
        <f>IF(B876="","",IFERROR(INDEX(tblMaterial[Meldebestand],MATCH(B876,tblMaterial[SAP],0)),"?"))</f>
        <v/>
      </c>
      <c r="F876">
        <f>IF(OR(B876="",NOT(ISNUMBER(D876))),"",IF(D876&lt;E876,"JA",""))</f>
        <v/>
      </c>
    </row>
    <row r="877">
      <c r="A877">
        <f>IFERROR(INDEX(tblStellplatz[Stellplatz],ROW()-1),"")</f>
        <v/>
      </c>
      <c r="B877">
        <f>IFERROR(INDEX(tblStellplatz[SAP],ROW()-1),"")</f>
        <v/>
      </c>
      <c r="C877">
        <f>IF(B877="","",IFERROR(INDEX(tblMaterial[Bezeichnung],MATCH(B877,tblMaterial[SAP],0)),"?"))</f>
        <v/>
      </c>
      <c r="D877">
        <f>IF(B877="","",IFERROR(INDEX(tblMaterial[Lagerstand],MATCH(B877,tblMaterial[SAP],0)),"?"))</f>
        <v/>
      </c>
      <c r="E877">
        <f>IF(B877="","",IFERROR(INDEX(tblMaterial[Meldebestand],MATCH(B877,tblMaterial[SAP],0)),"?"))</f>
        <v/>
      </c>
      <c r="F877">
        <f>IF(OR(B877="",NOT(ISNUMBER(D877))),"",IF(D877&lt;E877,"JA",""))</f>
        <v/>
      </c>
    </row>
    <row r="878">
      <c r="A878">
        <f>IFERROR(INDEX(tblStellplatz[Stellplatz],ROW()-1),"")</f>
        <v/>
      </c>
      <c r="B878">
        <f>IFERROR(INDEX(tblStellplatz[SAP],ROW()-1),"")</f>
        <v/>
      </c>
      <c r="C878">
        <f>IF(B878="","",IFERROR(INDEX(tblMaterial[Bezeichnung],MATCH(B878,tblMaterial[SAP],0)),"?"))</f>
        <v/>
      </c>
      <c r="D878">
        <f>IF(B878="","",IFERROR(INDEX(tblMaterial[Lagerstand],MATCH(B878,tblMaterial[SAP],0)),"?"))</f>
        <v/>
      </c>
      <c r="E878">
        <f>IF(B878="","",IFERROR(INDEX(tblMaterial[Meldebestand],MATCH(B878,tblMaterial[SAP],0)),"?"))</f>
        <v/>
      </c>
      <c r="F878">
        <f>IF(OR(B878="",NOT(ISNUMBER(D878))),"",IF(D878&lt;E878,"JA",""))</f>
        <v/>
      </c>
    </row>
    <row r="879">
      <c r="A879">
        <f>IFERROR(INDEX(tblStellplatz[Stellplatz],ROW()-1),"")</f>
        <v/>
      </c>
      <c r="B879">
        <f>IFERROR(INDEX(tblStellplatz[SAP],ROW()-1),"")</f>
        <v/>
      </c>
      <c r="C879">
        <f>IF(B879="","",IFERROR(INDEX(tblMaterial[Bezeichnung],MATCH(B879,tblMaterial[SAP],0)),"?"))</f>
        <v/>
      </c>
      <c r="D879">
        <f>IF(B879="","",IFERROR(INDEX(tblMaterial[Lagerstand],MATCH(B879,tblMaterial[SAP],0)),"?"))</f>
        <v/>
      </c>
      <c r="E879">
        <f>IF(B879="","",IFERROR(INDEX(tblMaterial[Meldebestand],MATCH(B879,tblMaterial[SAP],0)),"?"))</f>
        <v/>
      </c>
      <c r="F879">
        <f>IF(OR(B879="",NOT(ISNUMBER(D879))),"",IF(D879&lt;E879,"JA",""))</f>
        <v/>
      </c>
    </row>
    <row r="880">
      <c r="A880">
        <f>IFERROR(INDEX(tblStellplatz[Stellplatz],ROW()-1),"")</f>
        <v/>
      </c>
      <c r="B880">
        <f>IFERROR(INDEX(tblStellplatz[SAP],ROW()-1),"")</f>
        <v/>
      </c>
      <c r="C880">
        <f>IF(B880="","",IFERROR(INDEX(tblMaterial[Bezeichnung],MATCH(B880,tblMaterial[SAP],0)),"?"))</f>
        <v/>
      </c>
      <c r="D880">
        <f>IF(B880="","",IFERROR(INDEX(tblMaterial[Lagerstand],MATCH(B880,tblMaterial[SAP],0)),"?"))</f>
        <v/>
      </c>
      <c r="E880">
        <f>IF(B880="","",IFERROR(INDEX(tblMaterial[Meldebestand],MATCH(B880,tblMaterial[SAP],0)),"?"))</f>
        <v/>
      </c>
      <c r="F880">
        <f>IF(OR(B880="",NOT(ISNUMBER(D880))),"",IF(D880&lt;E880,"JA",""))</f>
        <v/>
      </c>
    </row>
    <row r="881">
      <c r="A881">
        <f>IFERROR(INDEX(tblStellplatz[Stellplatz],ROW()-1),"")</f>
        <v/>
      </c>
      <c r="B881">
        <f>IFERROR(INDEX(tblStellplatz[SAP],ROW()-1),"")</f>
        <v/>
      </c>
      <c r="C881">
        <f>IF(B881="","",IFERROR(INDEX(tblMaterial[Bezeichnung],MATCH(B881,tblMaterial[SAP],0)),"?"))</f>
        <v/>
      </c>
      <c r="D881">
        <f>IF(B881="","",IFERROR(INDEX(tblMaterial[Lagerstand],MATCH(B881,tblMaterial[SAP],0)),"?"))</f>
        <v/>
      </c>
      <c r="E881">
        <f>IF(B881="","",IFERROR(INDEX(tblMaterial[Meldebestand],MATCH(B881,tblMaterial[SAP],0)),"?"))</f>
        <v/>
      </c>
      <c r="F881">
        <f>IF(OR(B881="",NOT(ISNUMBER(D881))),"",IF(D881&lt;E881,"JA",""))</f>
        <v/>
      </c>
    </row>
    <row r="882">
      <c r="A882">
        <f>IFERROR(INDEX(tblStellplatz[Stellplatz],ROW()-1),"")</f>
        <v/>
      </c>
      <c r="B882">
        <f>IFERROR(INDEX(tblStellplatz[SAP],ROW()-1),"")</f>
        <v/>
      </c>
      <c r="C882">
        <f>IF(B882="","",IFERROR(INDEX(tblMaterial[Bezeichnung],MATCH(B882,tblMaterial[SAP],0)),"?"))</f>
        <v/>
      </c>
      <c r="D882">
        <f>IF(B882="","",IFERROR(INDEX(tblMaterial[Lagerstand],MATCH(B882,tblMaterial[SAP],0)),"?"))</f>
        <v/>
      </c>
      <c r="E882">
        <f>IF(B882="","",IFERROR(INDEX(tblMaterial[Meldebestand],MATCH(B882,tblMaterial[SAP],0)),"?"))</f>
        <v/>
      </c>
      <c r="F882">
        <f>IF(OR(B882="",NOT(ISNUMBER(D882))),"",IF(D882&lt;E882,"JA",""))</f>
        <v/>
      </c>
    </row>
    <row r="883">
      <c r="A883">
        <f>IFERROR(INDEX(tblStellplatz[Stellplatz],ROW()-1),"")</f>
        <v/>
      </c>
      <c r="B883">
        <f>IFERROR(INDEX(tblStellplatz[SAP],ROW()-1),"")</f>
        <v/>
      </c>
      <c r="C883">
        <f>IF(B883="","",IFERROR(INDEX(tblMaterial[Bezeichnung],MATCH(B883,tblMaterial[SAP],0)),"?"))</f>
        <v/>
      </c>
      <c r="D883">
        <f>IF(B883="","",IFERROR(INDEX(tblMaterial[Lagerstand],MATCH(B883,tblMaterial[SAP],0)),"?"))</f>
        <v/>
      </c>
      <c r="E883">
        <f>IF(B883="","",IFERROR(INDEX(tblMaterial[Meldebestand],MATCH(B883,tblMaterial[SAP],0)),"?"))</f>
        <v/>
      </c>
      <c r="F883">
        <f>IF(OR(B883="",NOT(ISNUMBER(D883))),"",IF(D883&lt;E883,"JA",""))</f>
        <v/>
      </c>
    </row>
    <row r="884">
      <c r="A884">
        <f>IFERROR(INDEX(tblStellplatz[Stellplatz],ROW()-1),"")</f>
        <v/>
      </c>
      <c r="B884">
        <f>IFERROR(INDEX(tblStellplatz[SAP],ROW()-1),"")</f>
        <v/>
      </c>
      <c r="C884">
        <f>IF(B884="","",IFERROR(INDEX(tblMaterial[Bezeichnung],MATCH(B884,tblMaterial[SAP],0)),"?"))</f>
        <v/>
      </c>
      <c r="D884">
        <f>IF(B884="","",IFERROR(INDEX(tblMaterial[Lagerstand],MATCH(B884,tblMaterial[SAP],0)),"?"))</f>
        <v/>
      </c>
      <c r="E884">
        <f>IF(B884="","",IFERROR(INDEX(tblMaterial[Meldebestand],MATCH(B884,tblMaterial[SAP],0)),"?"))</f>
        <v/>
      </c>
      <c r="F884">
        <f>IF(OR(B884="",NOT(ISNUMBER(D884))),"",IF(D884&lt;E884,"JA",""))</f>
        <v/>
      </c>
    </row>
    <row r="885">
      <c r="A885">
        <f>IFERROR(INDEX(tblStellplatz[Stellplatz],ROW()-1),"")</f>
        <v/>
      </c>
      <c r="B885">
        <f>IFERROR(INDEX(tblStellplatz[SAP],ROW()-1),"")</f>
        <v/>
      </c>
      <c r="C885">
        <f>IF(B885="","",IFERROR(INDEX(tblMaterial[Bezeichnung],MATCH(B885,tblMaterial[SAP],0)),"?"))</f>
        <v/>
      </c>
      <c r="D885">
        <f>IF(B885="","",IFERROR(INDEX(tblMaterial[Lagerstand],MATCH(B885,tblMaterial[SAP],0)),"?"))</f>
        <v/>
      </c>
      <c r="E885">
        <f>IF(B885="","",IFERROR(INDEX(tblMaterial[Meldebestand],MATCH(B885,tblMaterial[SAP],0)),"?"))</f>
        <v/>
      </c>
      <c r="F885">
        <f>IF(OR(B885="",NOT(ISNUMBER(D885))),"",IF(D885&lt;E885,"JA",""))</f>
        <v/>
      </c>
    </row>
    <row r="886">
      <c r="A886">
        <f>IFERROR(INDEX(tblStellplatz[Stellplatz],ROW()-1),"")</f>
        <v/>
      </c>
      <c r="B886">
        <f>IFERROR(INDEX(tblStellplatz[SAP],ROW()-1),"")</f>
        <v/>
      </c>
      <c r="C886">
        <f>IF(B886="","",IFERROR(INDEX(tblMaterial[Bezeichnung],MATCH(B886,tblMaterial[SAP],0)),"?"))</f>
        <v/>
      </c>
      <c r="D886">
        <f>IF(B886="","",IFERROR(INDEX(tblMaterial[Lagerstand],MATCH(B886,tblMaterial[SAP],0)),"?"))</f>
        <v/>
      </c>
      <c r="E886">
        <f>IF(B886="","",IFERROR(INDEX(tblMaterial[Meldebestand],MATCH(B886,tblMaterial[SAP],0)),"?"))</f>
        <v/>
      </c>
      <c r="F886">
        <f>IF(OR(B886="",NOT(ISNUMBER(D886))),"",IF(D886&lt;E886,"JA",""))</f>
        <v/>
      </c>
    </row>
    <row r="887">
      <c r="A887">
        <f>IFERROR(INDEX(tblStellplatz[Stellplatz],ROW()-1),"")</f>
        <v/>
      </c>
      <c r="B887">
        <f>IFERROR(INDEX(tblStellplatz[SAP],ROW()-1),"")</f>
        <v/>
      </c>
      <c r="C887">
        <f>IF(B887="","",IFERROR(INDEX(tblMaterial[Bezeichnung],MATCH(B887,tblMaterial[SAP],0)),"?"))</f>
        <v/>
      </c>
      <c r="D887">
        <f>IF(B887="","",IFERROR(INDEX(tblMaterial[Lagerstand],MATCH(B887,tblMaterial[SAP],0)),"?"))</f>
        <v/>
      </c>
      <c r="E887">
        <f>IF(B887="","",IFERROR(INDEX(tblMaterial[Meldebestand],MATCH(B887,tblMaterial[SAP],0)),"?"))</f>
        <v/>
      </c>
      <c r="F887">
        <f>IF(OR(B887="",NOT(ISNUMBER(D887))),"",IF(D887&lt;E887,"JA",""))</f>
        <v/>
      </c>
    </row>
    <row r="888">
      <c r="A888">
        <f>IFERROR(INDEX(tblStellplatz[Stellplatz],ROW()-1),"")</f>
        <v/>
      </c>
      <c r="B888">
        <f>IFERROR(INDEX(tblStellplatz[SAP],ROW()-1),"")</f>
        <v/>
      </c>
      <c r="C888">
        <f>IF(B888="","",IFERROR(INDEX(tblMaterial[Bezeichnung],MATCH(B888,tblMaterial[SAP],0)),"?"))</f>
        <v/>
      </c>
      <c r="D888">
        <f>IF(B888="","",IFERROR(INDEX(tblMaterial[Lagerstand],MATCH(B888,tblMaterial[SAP],0)),"?"))</f>
        <v/>
      </c>
      <c r="E888">
        <f>IF(B888="","",IFERROR(INDEX(tblMaterial[Meldebestand],MATCH(B888,tblMaterial[SAP],0)),"?"))</f>
        <v/>
      </c>
      <c r="F888">
        <f>IF(OR(B888="",NOT(ISNUMBER(D888))),"",IF(D888&lt;E888,"JA",""))</f>
        <v/>
      </c>
    </row>
    <row r="889">
      <c r="A889">
        <f>IFERROR(INDEX(tblStellplatz[Stellplatz],ROW()-1),"")</f>
        <v/>
      </c>
      <c r="B889">
        <f>IFERROR(INDEX(tblStellplatz[SAP],ROW()-1),"")</f>
        <v/>
      </c>
      <c r="C889">
        <f>IF(B889="","",IFERROR(INDEX(tblMaterial[Bezeichnung],MATCH(B889,tblMaterial[SAP],0)),"?"))</f>
        <v/>
      </c>
      <c r="D889">
        <f>IF(B889="","",IFERROR(INDEX(tblMaterial[Lagerstand],MATCH(B889,tblMaterial[SAP],0)),"?"))</f>
        <v/>
      </c>
      <c r="E889">
        <f>IF(B889="","",IFERROR(INDEX(tblMaterial[Meldebestand],MATCH(B889,tblMaterial[SAP],0)),"?"))</f>
        <v/>
      </c>
      <c r="F889">
        <f>IF(OR(B889="",NOT(ISNUMBER(D889))),"",IF(D889&lt;E889,"JA",""))</f>
        <v/>
      </c>
    </row>
    <row r="890">
      <c r="A890">
        <f>IFERROR(INDEX(tblStellplatz[Stellplatz],ROW()-1),"")</f>
        <v/>
      </c>
      <c r="B890">
        <f>IFERROR(INDEX(tblStellplatz[SAP],ROW()-1),"")</f>
        <v/>
      </c>
      <c r="C890">
        <f>IF(B890="","",IFERROR(INDEX(tblMaterial[Bezeichnung],MATCH(B890,tblMaterial[SAP],0)),"?"))</f>
        <v/>
      </c>
      <c r="D890">
        <f>IF(B890="","",IFERROR(INDEX(tblMaterial[Lagerstand],MATCH(B890,tblMaterial[SAP],0)),"?"))</f>
        <v/>
      </c>
      <c r="E890">
        <f>IF(B890="","",IFERROR(INDEX(tblMaterial[Meldebestand],MATCH(B890,tblMaterial[SAP],0)),"?"))</f>
        <v/>
      </c>
      <c r="F890">
        <f>IF(OR(B890="",NOT(ISNUMBER(D890))),"",IF(D890&lt;E890,"JA",""))</f>
        <v/>
      </c>
    </row>
    <row r="891">
      <c r="A891">
        <f>IFERROR(INDEX(tblStellplatz[Stellplatz],ROW()-1),"")</f>
        <v/>
      </c>
      <c r="B891">
        <f>IFERROR(INDEX(tblStellplatz[SAP],ROW()-1),"")</f>
        <v/>
      </c>
      <c r="C891">
        <f>IF(B891="","",IFERROR(INDEX(tblMaterial[Bezeichnung],MATCH(B891,tblMaterial[SAP],0)),"?"))</f>
        <v/>
      </c>
      <c r="D891">
        <f>IF(B891="","",IFERROR(INDEX(tblMaterial[Lagerstand],MATCH(B891,tblMaterial[SAP],0)),"?"))</f>
        <v/>
      </c>
      <c r="E891">
        <f>IF(B891="","",IFERROR(INDEX(tblMaterial[Meldebestand],MATCH(B891,tblMaterial[SAP],0)),"?"))</f>
        <v/>
      </c>
      <c r="F891">
        <f>IF(OR(B891="",NOT(ISNUMBER(D891))),"",IF(D891&lt;E891,"JA",""))</f>
        <v/>
      </c>
    </row>
    <row r="892">
      <c r="A892">
        <f>IFERROR(INDEX(tblStellplatz[Stellplatz],ROW()-1),"")</f>
        <v/>
      </c>
      <c r="B892">
        <f>IFERROR(INDEX(tblStellplatz[SAP],ROW()-1),"")</f>
        <v/>
      </c>
      <c r="C892">
        <f>IF(B892="","",IFERROR(INDEX(tblMaterial[Bezeichnung],MATCH(B892,tblMaterial[SAP],0)),"?"))</f>
        <v/>
      </c>
      <c r="D892">
        <f>IF(B892="","",IFERROR(INDEX(tblMaterial[Lagerstand],MATCH(B892,tblMaterial[SAP],0)),"?"))</f>
        <v/>
      </c>
      <c r="E892">
        <f>IF(B892="","",IFERROR(INDEX(tblMaterial[Meldebestand],MATCH(B892,tblMaterial[SAP],0)),"?"))</f>
        <v/>
      </c>
      <c r="F892">
        <f>IF(OR(B892="",NOT(ISNUMBER(D892))),"",IF(D892&lt;E892,"JA",""))</f>
        <v/>
      </c>
    </row>
    <row r="893">
      <c r="A893">
        <f>IFERROR(INDEX(tblStellplatz[Stellplatz],ROW()-1),"")</f>
        <v/>
      </c>
      <c r="B893">
        <f>IFERROR(INDEX(tblStellplatz[SAP],ROW()-1),"")</f>
        <v/>
      </c>
      <c r="C893">
        <f>IF(B893="","",IFERROR(INDEX(tblMaterial[Bezeichnung],MATCH(B893,tblMaterial[SAP],0)),"?"))</f>
        <v/>
      </c>
      <c r="D893">
        <f>IF(B893="","",IFERROR(INDEX(tblMaterial[Lagerstand],MATCH(B893,tblMaterial[SAP],0)),"?"))</f>
        <v/>
      </c>
      <c r="E893">
        <f>IF(B893="","",IFERROR(INDEX(tblMaterial[Meldebestand],MATCH(B893,tblMaterial[SAP],0)),"?"))</f>
        <v/>
      </c>
      <c r="F893">
        <f>IF(OR(B893="",NOT(ISNUMBER(D893))),"",IF(D893&lt;E893,"JA",""))</f>
        <v/>
      </c>
    </row>
    <row r="894">
      <c r="A894">
        <f>IFERROR(INDEX(tblStellplatz[Stellplatz],ROW()-1),"")</f>
        <v/>
      </c>
      <c r="B894">
        <f>IFERROR(INDEX(tblStellplatz[SAP],ROW()-1),"")</f>
        <v/>
      </c>
      <c r="C894">
        <f>IF(B894="","",IFERROR(INDEX(tblMaterial[Bezeichnung],MATCH(B894,tblMaterial[SAP],0)),"?"))</f>
        <v/>
      </c>
      <c r="D894">
        <f>IF(B894="","",IFERROR(INDEX(tblMaterial[Lagerstand],MATCH(B894,tblMaterial[SAP],0)),"?"))</f>
        <v/>
      </c>
      <c r="E894">
        <f>IF(B894="","",IFERROR(INDEX(tblMaterial[Meldebestand],MATCH(B894,tblMaterial[SAP],0)),"?"))</f>
        <v/>
      </c>
      <c r="F894">
        <f>IF(OR(B894="",NOT(ISNUMBER(D894))),"",IF(D894&lt;E894,"JA",""))</f>
        <v/>
      </c>
    </row>
    <row r="895">
      <c r="A895">
        <f>IFERROR(INDEX(tblStellplatz[Stellplatz],ROW()-1),"")</f>
        <v/>
      </c>
      <c r="B895">
        <f>IFERROR(INDEX(tblStellplatz[SAP],ROW()-1),"")</f>
        <v/>
      </c>
      <c r="C895">
        <f>IF(B895="","",IFERROR(INDEX(tblMaterial[Bezeichnung],MATCH(B895,tblMaterial[SAP],0)),"?"))</f>
        <v/>
      </c>
      <c r="D895">
        <f>IF(B895="","",IFERROR(INDEX(tblMaterial[Lagerstand],MATCH(B895,tblMaterial[SAP],0)),"?"))</f>
        <v/>
      </c>
      <c r="E895">
        <f>IF(B895="","",IFERROR(INDEX(tblMaterial[Meldebestand],MATCH(B895,tblMaterial[SAP],0)),"?"))</f>
        <v/>
      </c>
      <c r="F895">
        <f>IF(OR(B895="",NOT(ISNUMBER(D895))),"",IF(D895&lt;E895,"JA",""))</f>
        <v/>
      </c>
    </row>
    <row r="896">
      <c r="A896">
        <f>IFERROR(INDEX(tblStellplatz[Stellplatz],ROW()-1),"")</f>
        <v/>
      </c>
      <c r="B896">
        <f>IFERROR(INDEX(tblStellplatz[SAP],ROW()-1),"")</f>
        <v/>
      </c>
      <c r="C896">
        <f>IF(B896="","",IFERROR(INDEX(tblMaterial[Bezeichnung],MATCH(B896,tblMaterial[SAP],0)),"?"))</f>
        <v/>
      </c>
      <c r="D896">
        <f>IF(B896="","",IFERROR(INDEX(tblMaterial[Lagerstand],MATCH(B896,tblMaterial[SAP],0)),"?"))</f>
        <v/>
      </c>
      <c r="E896">
        <f>IF(B896="","",IFERROR(INDEX(tblMaterial[Meldebestand],MATCH(B896,tblMaterial[SAP],0)),"?"))</f>
        <v/>
      </c>
      <c r="F896">
        <f>IF(OR(B896="",NOT(ISNUMBER(D896))),"",IF(D896&lt;E896,"JA",""))</f>
        <v/>
      </c>
    </row>
    <row r="897">
      <c r="A897">
        <f>IFERROR(INDEX(tblStellplatz[Stellplatz],ROW()-1),"")</f>
        <v/>
      </c>
      <c r="B897">
        <f>IFERROR(INDEX(tblStellplatz[SAP],ROW()-1),"")</f>
        <v/>
      </c>
      <c r="C897">
        <f>IF(B897="","",IFERROR(INDEX(tblMaterial[Bezeichnung],MATCH(B897,tblMaterial[SAP],0)),"?"))</f>
        <v/>
      </c>
      <c r="D897">
        <f>IF(B897="","",IFERROR(INDEX(tblMaterial[Lagerstand],MATCH(B897,tblMaterial[SAP],0)),"?"))</f>
        <v/>
      </c>
      <c r="E897">
        <f>IF(B897="","",IFERROR(INDEX(tblMaterial[Meldebestand],MATCH(B897,tblMaterial[SAP],0)),"?"))</f>
        <v/>
      </c>
      <c r="F897">
        <f>IF(OR(B897="",NOT(ISNUMBER(D897))),"",IF(D897&lt;E897,"JA",""))</f>
        <v/>
      </c>
    </row>
    <row r="898">
      <c r="A898">
        <f>IFERROR(INDEX(tblStellplatz[Stellplatz],ROW()-1),"")</f>
        <v/>
      </c>
      <c r="B898">
        <f>IFERROR(INDEX(tblStellplatz[SAP],ROW()-1),"")</f>
        <v/>
      </c>
      <c r="C898">
        <f>IF(B898="","",IFERROR(INDEX(tblMaterial[Bezeichnung],MATCH(B898,tblMaterial[SAP],0)),"?"))</f>
        <v/>
      </c>
      <c r="D898">
        <f>IF(B898="","",IFERROR(INDEX(tblMaterial[Lagerstand],MATCH(B898,tblMaterial[SAP],0)),"?"))</f>
        <v/>
      </c>
      <c r="E898">
        <f>IF(B898="","",IFERROR(INDEX(tblMaterial[Meldebestand],MATCH(B898,tblMaterial[SAP],0)),"?"))</f>
        <v/>
      </c>
      <c r="F898">
        <f>IF(OR(B898="",NOT(ISNUMBER(D898))),"",IF(D898&lt;E898,"JA",""))</f>
        <v/>
      </c>
    </row>
    <row r="899">
      <c r="A899">
        <f>IFERROR(INDEX(tblStellplatz[Stellplatz],ROW()-1),"")</f>
        <v/>
      </c>
      <c r="B899">
        <f>IFERROR(INDEX(tblStellplatz[SAP],ROW()-1),"")</f>
        <v/>
      </c>
      <c r="C899">
        <f>IF(B899="","",IFERROR(INDEX(tblMaterial[Bezeichnung],MATCH(B899,tblMaterial[SAP],0)),"?"))</f>
        <v/>
      </c>
      <c r="D899">
        <f>IF(B899="","",IFERROR(INDEX(tblMaterial[Lagerstand],MATCH(B899,tblMaterial[SAP],0)),"?"))</f>
        <v/>
      </c>
      <c r="E899">
        <f>IF(B899="","",IFERROR(INDEX(tblMaterial[Meldebestand],MATCH(B899,tblMaterial[SAP],0)),"?"))</f>
        <v/>
      </c>
      <c r="F899">
        <f>IF(OR(B899="",NOT(ISNUMBER(D899))),"",IF(D899&lt;E899,"JA",""))</f>
        <v/>
      </c>
    </row>
    <row r="900">
      <c r="A900">
        <f>IFERROR(INDEX(tblStellplatz[Stellplatz],ROW()-1),"")</f>
        <v/>
      </c>
      <c r="B900">
        <f>IFERROR(INDEX(tblStellplatz[SAP],ROW()-1),"")</f>
        <v/>
      </c>
      <c r="C900">
        <f>IF(B900="","",IFERROR(INDEX(tblMaterial[Bezeichnung],MATCH(B900,tblMaterial[SAP],0)),"?"))</f>
        <v/>
      </c>
      <c r="D900">
        <f>IF(B900="","",IFERROR(INDEX(tblMaterial[Lagerstand],MATCH(B900,tblMaterial[SAP],0)),"?"))</f>
        <v/>
      </c>
      <c r="E900">
        <f>IF(B900="","",IFERROR(INDEX(tblMaterial[Meldebestand],MATCH(B900,tblMaterial[SAP],0)),"?"))</f>
        <v/>
      </c>
      <c r="F900">
        <f>IF(OR(B900="",NOT(ISNUMBER(D900))),"",IF(D900&lt;E900,"JA",""))</f>
        <v/>
      </c>
    </row>
    <row r="901">
      <c r="A901">
        <f>IFERROR(INDEX(tblStellplatz[Stellplatz],ROW()-1),"")</f>
        <v/>
      </c>
      <c r="B901">
        <f>IFERROR(INDEX(tblStellplatz[SAP],ROW()-1),"")</f>
        <v/>
      </c>
      <c r="C901">
        <f>IF(B901="","",IFERROR(INDEX(tblMaterial[Bezeichnung],MATCH(B901,tblMaterial[SAP],0)),"?"))</f>
        <v/>
      </c>
      <c r="D901">
        <f>IF(B901="","",IFERROR(INDEX(tblMaterial[Lagerstand],MATCH(B901,tblMaterial[SAP],0)),"?"))</f>
        <v/>
      </c>
      <c r="E901">
        <f>IF(B901="","",IFERROR(INDEX(tblMaterial[Meldebestand],MATCH(B901,tblMaterial[SAP],0)),"?"))</f>
        <v/>
      </c>
      <c r="F901">
        <f>IF(OR(B901="",NOT(ISNUMBER(D901))),"",IF(D901&lt;E901,"JA",""))</f>
        <v/>
      </c>
    </row>
    <row r="902">
      <c r="A902">
        <f>IFERROR(INDEX(tblStellplatz[Stellplatz],ROW()-1),"")</f>
        <v/>
      </c>
      <c r="B902">
        <f>IFERROR(INDEX(tblStellplatz[SAP],ROW()-1),"")</f>
        <v/>
      </c>
      <c r="C902">
        <f>IF(B902="","",IFERROR(INDEX(tblMaterial[Bezeichnung],MATCH(B902,tblMaterial[SAP],0)),"?"))</f>
        <v/>
      </c>
      <c r="D902">
        <f>IF(B902="","",IFERROR(INDEX(tblMaterial[Lagerstand],MATCH(B902,tblMaterial[SAP],0)),"?"))</f>
        <v/>
      </c>
      <c r="E902">
        <f>IF(B902="","",IFERROR(INDEX(tblMaterial[Meldebestand],MATCH(B902,tblMaterial[SAP],0)),"?"))</f>
        <v/>
      </c>
      <c r="F902">
        <f>IF(OR(B902="",NOT(ISNUMBER(D902))),"",IF(D902&lt;E902,"JA",""))</f>
        <v/>
      </c>
    </row>
    <row r="903">
      <c r="A903">
        <f>IFERROR(INDEX(tblStellplatz[Stellplatz],ROW()-1),"")</f>
        <v/>
      </c>
      <c r="B903">
        <f>IFERROR(INDEX(tblStellplatz[SAP],ROW()-1),"")</f>
        <v/>
      </c>
      <c r="C903">
        <f>IF(B903="","",IFERROR(INDEX(tblMaterial[Bezeichnung],MATCH(B903,tblMaterial[SAP],0)),"?"))</f>
        <v/>
      </c>
      <c r="D903">
        <f>IF(B903="","",IFERROR(INDEX(tblMaterial[Lagerstand],MATCH(B903,tblMaterial[SAP],0)),"?"))</f>
        <v/>
      </c>
      <c r="E903">
        <f>IF(B903="","",IFERROR(INDEX(tblMaterial[Meldebestand],MATCH(B903,tblMaterial[SAP],0)),"?"))</f>
        <v/>
      </c>
      <c r="F903">
        <f>IF(OR(B903="",NOT(ISNUMBER(D903))),"",IF(D903&lt;E903,"JA",""))</f>
        <v/>
      </c>
    </row>
    <row r="904">
      <c r="A904">
        <f>IFERROR(INDEX(tblStellplatz[Stellplatz],ROW()-1),"")</f>
        <v/>
      </c>
      <c r="B904">
        <f>IFERROR(INDEX(tblStellplatz[SAP],ROW()-1),"")</f>
        <v/>
      </c>
      <c r="C904">
        <f>IF(B904="","",IFERROR(INDEX(tblMaterial[Bezeichnung],MATCH(B904,tblMaterial[SAP],0)),"?"))</f>
        <v/>
      </c>
      <c r="D904">
        <f>IF(B904="","",IFERROR(INDEX(tblMaterial[Lagerstand],MATCH(B904,tblMaterial[SAP],0)),"?"))</f>
        <v/>
      </c>
      <c r="E904">
        <f>IF(B904="","",IFERROR(INDEX(tblMaterial[Meldebestand],MATCH(B904,tblMaterial[SAP],0)),"?"))</f>
        <v/>
      </c>
      <c r="F904">
        <f>IF(OR(B904="",NOT(ISNUMBER(D904))),"",IF(D904&lt;E904,"JA",""))</f>
        <v/>
      </c>
    </row>
    <row r="905">
      <c r="A905">
        <f>IFERROR(INDEX(tblStellplatz[Stellplatz],ROW()-1),"")</f>
        <v/>
      </c>
      <c r="B905">
        <f>IFERROR(INDEX(tblStellplatz[SAP],ROW()-1),"")</f>
        <v/>
      </c>
      <c r="C905">
        <f>IF(B905="","",IFERROR(INDEX(tblMaterial[Bezeichnung],MATCH(B905,tblMaterial[SAP],0)),"?"))</f>
        <v/>
      </c>
      <c r="D905">
        <f>IF(B905="","",IFERROR(INDEX(tblMaterial[Lagerstand],MATCH(B905,tblMaterial[SAP],0)),"?"))</f>
        <v/>
      </c>
      <c r="E905">
        <f>IF(B905="","",IFERROR(INDEX(tblMaterial[Meldebestand],MATCH(B905,tblMaterial[SAP],0)),"?"))</f>
        <v/>
      </c>
      <c r="F905">
        <f>IF(OR(B905="",NOT(ISNUMBER(D905))),"",IF(D905&lt;E905,"JA",""))</f>
        <v/>
      </c>
    </row>
    <row r="906">
      <c r="A906">
        <f>IFERROR(INDEX(tblStellplatz[Stellplatz],ROW()-1),"")</f>
        <v/>
      </c>
      <c r="B906">
        <f>IFERROR(INDEX(tblStellplatz[SAP],ROW()-1),"")</f>
        <v/>
      </c>
      <c r="C906">
        <f>IF(B906="","",IFERROR(INDEX(tblMaterial[Bezeichnung],MATCH(B906,tblMaterial[SAP],0)),"?"))</f>
        <v/>
      </c>
      <c r="D906">
        <f>IF(B906="","",IFERROR(INDEX(tblMaterial[Lagerstand],MATCH(B906,tblMaterial[SAP],0)),"?"))</f>
        <v/>
      </c>
      <c r="E906">
        <f>IF(B906="","",IFERROR(INDEX(tblMaterial[Meldebestand],MATCH(B906,tblMaterial[SAP],0)),"?"))</f>
        <v/>
      </c>
      <c r="F906">
        <f>IF(OR(B906="",NOT(ISNUMBER(D906))),"",IF(D906&lt;E906,"JA",""))</f>
        <v/>
      </c>
    </row>
    <row r="907">
      <c r="A907">
        <f>IFERROR(INDEX(tblStellplatz[Stellplatz],ROW()-1),"")</f>
        <v/>
      </c>
      <c r="B907">
        <f>IFERROR(INDEX(tblStellplatz[SAP],ROW()-1),"")</f>
        <v/>
      </c>
      <c r="C907">
        <f>IF(B907="","",IFERROR(INDEX(tblMaterial[Bezeichnung],MATCH(B907,tblMaterial[SAP],0)),"?"))</f>
        <v/>
      </c>
      <c r="D907">
        <f>IF(B907="","",IFERROR(INDEX(tblMaterial[Lagerstand],MATCH(B907,tblMaterial[SAP],0)),"?"))</f>
        <v/>
      </c>
      <c r="E907">
        <f>IF(B907="","",IFERROR(INDEX(tblMaterial[Meldebestand],MATCH(B907,tblMaterial[SAP],0)),"?"))</f>
        <v/>
      </c>
      <c r="F907">
        <f>IF(OR(B907="",NOT(ISNUMBER(D907))),"",IF(D907&lt;E907,"JA",""))</f>
        <v/>
      </c>
    </row>
    <row r="908">
      <c r="A908">
        <f>IFERROR(INDEX(tblStellplatz[Stellplatz],ROW()-1),"")</f>
        <v/>
      </c>
      <c r="B908">
        <f>IFERROR(INDEX(tblStellplatz[SAP],ROW()-1),"")</f>
        <v/>
      </c>
      <c r="C908">
        <f>IF(B908="","",IFERROR(INDEX(tblMaterial[Bezeichnung],MATCH(B908,tblMaterial[SAP],0)),"?"))</f>
        <v/>
      </c>
      <c r="D908">
        <f>IF(B908="","",IFERROR(INDEX(tblMaterial[Lagerstand],MATCH(B908,tblMaterial[SAP],0)),"?"))</f>
        <v/>
      </c>
      <c r="E908">
        <f>IF(B908="","",IFERROR(INDEX(tblMaterial[Meldebestand],MATCH(B908,tblMaterial[SAP],0)),"?"))</f>
        <v/>
      </c>
      <c r="F908">
        <f>IF(OR(B908="",NOT(ISNUMBER(D908))),"",IF(D908&lt;E908,"JA",""))</f>
        <v/>
      </c>
    </row>
    <row r="909">
      <c r="A909">
        <f>IFERROR(INDEX(tblStellplatz[Stellplatz],ROW()-1),"")</f>
        <v/>
      </c>
      <c r="B909">
        <f>IFERROR(INDEX(tblStellplatz[SAP],ROW()-1),"")</f>
        <v/>
      </c>
      <c r="C909">
        <f>IF(B909="","",IFERROR(INDEX(tblMaterial[Bezeichnung],MATCH(B909,tblMaterial[SAP],0)),"?"))</f>
        <v/>
      </c>
      <c r="D909">
        <f>IF(B909="","",IFERROR(INDEX(tblMaterial[Lagerstand],MATCH(B909,tblMaterial[SAP],0)),"?"))</f>
        <v/>
      </c>
      <c r="E909">
        <f>IF(B909="","",IFERROR(INDEX(tblMaterial[Meldebestand],MATCH(B909,tblMaterial[SAP],0)),"?"))</f>
        <v/>
      </c>
      <c r="F909">
        <f>IF(OR(B909="",NOT(ISNUMBER(D909))),"",IF(D909&lt;E909,"JA",""))</f>
        <v/>
      </c>
    </row>
    <row r="910">
      <c r="A910">
        <f>IFERROR(INDEX(tblStellplatz[Stellplatz],ROW()-1),"")</f>
        <v/>
      </c>
      <c r="B910">
        <f>IFERROR(INDEX(tblStellplatz[SAP],ROW()-1),"")</f>
        <v/>
      </c>
      <c r="C910">
        <f>IF(B910="","",IFERROR(INDEX(tblMaterial[Bezeichnung],MATCH(B910,tblMaterial[SAP],0)),"?"))</f>
        <v/>
      </c>
      <c r="D910">
        <f>IF(B910="","",IFERROR(INDEX(tblMaterial[Lagerstand],MATCH(B910,tblMaterial[SAP],0)),"?"))</f>
        <v/>
      </c>
      <c r="E910">
        <f>IF(B910="","",IFERROR(INDEX(tblMaterial[Meldebestand],MATCH(B910,tblMaterial[SAP],0)),"?"))</f>
        <v/>
      </c>
      <c r="F910">
        <f>IF(OR(B910="",NOT(ISNUMBER(D910))),"",IF(D910&lt;E910,"JA",""))</f>
        <v/>
      </c>
    </row>
    <row r="911">
      <c r="A911">
        <f>IFERROR(INDEX(tblStellplatz[Stellplatz],ROW()-1),"")</f>
        <v/>
      </c>
      <c r="B911">
        <f>IFERROR(INDEX(tblStellplatz[SAP],ROW()-1),"")</f>
        <v/>
      </c>
      <c r="C911">
        <f>IF(B911="","",IFERROR(INDEX(tblMaterial[Bezeichnung],MATCH(B911,tblMaterial[SAP],0)),"?"))</f>
        <v/>
      </c>
      <c r="D911">
        <f>IF(B911="","",IFERROR(INDEX(tblMaterial[Lagerstand],MATCH(B911,tblMaterial[SAP],0)),"?"))</f>
        <v/>
      </c>
      <c r="E911">
        <f>IF(B911="","",IFERROR(INDEX(tblMaterial[Meldebestand],MATCH(B911,tblMaterial[SAP],0)),"?"))</f>
        <v/>
      </c>
      <c r="F911">
        <f>IF(OR(B911="",NOT(ISNUMBER(D911))),"",IF(D911&lt;E911,"JA",""))</f>
        <v/>
      </c>
    </row>
    <row r="912">
      <c r="A912">
        <f>IFERROR(INDEX(tblStellplatz[Stellplatz],ROW()-1),"")</f>
        <v/>
      </c>
      <c r="B912">
        <f>IFERROR(INDEX(tblStellplatz[SAP],ROW()-1),"")</f>
        <v/>
      </c>
      <c r="C912">
        <f>IF(B912="","",IFERROR(INDEX(tblMaterial[Bezeichnung],MATCH(B912,tblMaterial[SAP],0)),"?"))</f>
        <v/>
      </c>
      <c r="D912">
        <f>IF(B912="","",IFERROR(INDEX(tblMaterial[Lagerstand],MATCH(B912,tblMaterial[SAP],0)),"?"))</f>
        <v/>
      </c>
      <c r="E912">
        <f>IF(B912="","",IFERROR(INDEX(tblMaterial[Meldebestand],MATCH(B912,tblMaterial[SAP],0)),"?"))</f>
        <v/>
      </c>
      <c r="F912">
        <f>IF(OR(B912="",NOT(ISNUMBER(D912))),"",IF(D912&lt;E912,"JA",""))</f>
        <v/>
      </c>
    </row>
    <row r="913">
      <c r="A913">
        <f>IFERROR(INDEX(tblStellplatz[Stellplatz],ROW()-1),"")</f>
        <v/>
      </c>
      <c r="B913">
        <f>IFERROR(INDEX(tblStellplatz[SAP],ROW()-1),"")</f>
        <v/>
      </c>
      <c r="C913">
        <f>IF(B913="","",IFERROR(INDEX(tblMaterial[Bezeichnung],MATCH(B913,tblMaterial[SAP],0)),"?"))</f>
        <v/>
      </c>
      <c r="D913">
        <f>IF(B913="","",IFERROR(INDEX(tblMaterial[Lagerstand],MATCH(B913,tblMaterial[SAP],0)),"?"))</f>
        <v/>
      </c>
      <c r="E913">
        <f>IF(B913="","",IFERROR(INDEX(tblMaterial[Meldebestand],MATCH(B913,tblMaterial[SAP],0)),"?"))</f>
        <v/>
      </c>
      <c r="F913">
        <f>IF(OR(B913="",NOT(ISNUMBER(D913))),"",IF(D913&lt;E913,"JA",""))</f>
        <v/>
      </c>
    </row>
    <row r="914">
      <c r="A914">
        <f>IFERROR(INDEX(tblStellplatz[Stellplatz],ROW()-1),"")</f>
        <v/>
      </c>
      <c r="B914">
        <f>IFERROR(INDEX(tblStellplatz[SAP],ROW()-1),"")</f>
        <v/>
      </c>
      <c r="C914">
        <f>IF(B914="","",IFERROR(INDEX(tblMaterial[Bezeichnung],MATCH(B914,tblMaterial[SAP],0)),"?"))</f>
        <v/>
      </c>
      <c r="D914">
        <f>IF(B914="","",IFERROR(INDEX(tblMaterial[Lagerstand],MATCH(B914,tblMaterial[SAP],0)),"?"))</f>
        <v/>
      </c>
      <c r="E914">
        <f>IF(B914="","",IFERROR(INDEX(tblMaterial[Meldebestand],MATCH(B914,tblMaterial[SAP],0)),"?"))</f>
        <v/>
      </c>
      <c r="F914">
        <f>IF(OR(B914="",NOT(ISNUMBER(D914))),"",IF(D914&lt;E914,"JA",""))</f>
        <v/>
      </c>
    </row>
    <row r="915">
      <c r="A915">
        <f>IFERROR(INDEX(tblStellplatz[Stellplatz],ROW()-1),"")</f>
        <v/>
      </c>
      <c r="B915">
        <f>IFERROR(INDEX(tblStellplatz[SAP],ROW()-1),"")</f>
        <v/>
      </c>
      <c r="C915">
        <f>IF(B915="","",IFERROR(INDEX(tblMaterial[Bezeichnung],MATCH(B915,tblMaterial[SAP],0)),"?"))</f>
        <v/>
      </c>
      <c r="D915">
        <f>IF(B915="","",IFERROR(INDEX(tblMaterial[Lagerstand],MATCH(B915,tblMaterial[SAP],0)),"?"))</f>
        <v/>
      </c>
      <c r="E915">
        <f>IF(B915="","",IFERROR(INDEX(tblMaterial[Meldebestand],MATCH(B915,tblMaterial[SAP],0)),"?"))</f>
        <v/>
      </c>
      <c r="F915">
        <f>IF(OR(B915="",NOT(ISNUMBER(D915))),"",IF(D915&lt;E915,"JA",""))</f>
        <v/>
      </c>
    </row>
    <row r="916">
      <c r="A916">
        <f>IFERROR(INDEX(tblStellplatz[Stellplatz],ROW()-1),"")</f>
        <v/>
      </c>
      <c r="B916">
        <f>IFERROR(INDEX(tblStellplatz[SAP],ROW()-1),"")</f>
        <v/>
      </c>
      <c r="C916">
        <f>IF(B916="","",IFERROR(INDEX(tblMaterial[Bezeichnung],MATCH(B916,tblMaterial[SAP],0)),"?"))</f>
        <v/>
      </c>
      <c r="D916">
        <f>IF(B916="","",IFERROR(INDEX(tblMaterial[Lagerstand],MATCH(B916,tblMaterial[SAP],0)),"?"))</f>
        <v/>
      </c>
      <c r="E916">
        <f>IF(B916="","",IFERROR(INDEX(tblMaterial[Meldebestand],MATCH(B916,tblMaterial[SAP],0)),"?"))</f>
        <v/>
      </c>
      <c r="F916">
        <f>IF(OR(B916="",NOT(ISNUMBER(D916))),"",IF(D916&lt;E916,"JA",""))</f>
        <v/>
      </c>
    </row>
    <row r="917">
      <c r="A917">
        <f>IFERROR(INDEX(tblStellplatz[Stellplatz],ROW()-1),"")</f>
        <v/>
      </c>
      <c r="B917">
        <f>IFERROR(INDEX(tblStellplatz[SAP],ROW()-1),"")</f>
        <v/>
      </c>
      <c r="C917">
        <f>IF(B917="","",IFERROR(INDEX(tblMaterial[Bezeichnung],MATCH(B917,tblMaterial[SAP],0)),"?"))</f>
        <v/>
      </c>
      <c r="D917">
        <f>IF(B917="","",IFERROR(INDEX(tblMaterial[Lagerstand],MATCH(B917,tblMaterial[SAP],0)),"?"))</f>
        <v/>
      </c>
      <c r="E917">
        <f>IF(B917="","",IFERROR(INDEX(tblMaterial[Meldebestand],MATCH(B917,tblMaterial[SAP],0)),"?"))</f>
        <v/>
      </c>
      <c r="F917">
        <f>IF(OR(B917="",NOT(ISNUMBER(D917))),"",IF(D917&lt;E917,"JA",""))</f>
        <v/>
      </c>
    </row>
    <row r="918">
      <c r="A918">
        <f>IFERROR(INDEX(tblStellplatz[Stellplatz],ROW()-1),"")</f>
        <v/>
      </c>
      <c r="B918">
        <f>IFERROR(INDEX(tblStellplatz[SAP],ROW()-1),"")</f>
        <v/>
      </c>
      <c r="C918">
        <f>IF(B918="","",IFERROR(INDEX(tblMaterial[Bezeichnung],MATCH(B918,tblMaterial[SAP],0)),"?"))</f>
        <v/>
      </c>
      <c r="D918">
        <f>IF(B918="","",IFERROR(INDEX(tblMaterial[Lagerstand],MATCH(B918,tblMaterial[SAP],0)),"?"))</f>
        <v/>
      </c>
      <c r="E918">
        <f>IF(B918="","",IFERROR(INDEX(tblMaterial[Meldebestand],MATCH(B918,tblMaterial[SAP],0)),"?"))</f>
        <v/>
      </c>
      <c r="F918">
        <f>IF(OR(B918="",NOT(ISNUMBER(D918))),"",IF(D918&lt;E918,"JA",""))</f>
        <v/>
      </c>
    </row>
    <row r="919">
      <c r="A919">
        <f>IFERROR(INDEX(tblStellplatz[Stellplatz],ROW()-1),"")</f>
        <v/>
      </c>
      <c r="B919">
        <f>IFERROR(INDEX(tblStellplatz[SAP],ROW()-1),"")</f>
        <v/>
      </c>
      <c r="C919">
        <f>IF(B919="","",IFERROR(INDEX(tblMaterial[Bezeichnung],MATCH(B919,tblMaterial[SAP],0)),"?"))</f>
        <v/>
      </c>
      <c r="D919">
        <f>IF(B919="","",IFERROR(INDEX(tblMaterial[Lagerstand],MATCH(B919,tblMaterial[SAP],0)),"?"))</f>
        <v/>
      </c>
      <c r="E919">
        <f>IF(B919="","",IFERROR(INDEX(tblMaterial[Meldebestand],MATCH(B919,tblMaterial[SAP],0)),"?"))</f>
        <v/>
      </c>
      <c r="F919">
        <f>IF(OR(B919="",NOT(ISNUMBER(D919))),"",IF(D919&lt;E919,"JA",""))</f>
        <v/>
      </c>
    </row>
    <row r="920">
      <c r="A920">
        <f>IFERROR(INDEX(tblStellplatz[Stellplatz],ROW()-1),"")</f>
        <v/>
      </c>
      <c r="B920">
        <f>IFERROR(INDEX(tblStellplatz[SAP],ROW()-1),"")</f>
        <v/>
      </c>
      <c r="C920">
        <f>IF(B920="","",IFERROR(INDEX(tblMaterial[Bezeichnung],MATCH(B920,tblMaterial[SAP],0)),"?"))</f>
        <v/>
      </c>
      <c r="D920">
        <f>IF(B920="","",IFERROR(INDEX(tblMaterial[Lagerstand],MATCH(B920,tblMaterial[SAP],0)),"?"))</f>
        <v/>
      </c>
      <c r="E920">
        <f>IF(B920="","",IFERROR(INDEX(tblMaterial[Meldebestand],MATCH(B920,tblMaterial[SAP],0)),"?"))</f>
        <v/>
      </c>
      <c r="F920">
        <f>IF(OR(B920="",NOT(ISNUMBER(D920))),"",IF(D920&lt;E920,"JA",""))</f>
        <v/>
      </c>
    </row>
    <row r="921">
      <c r="A921">
        <f>IFERROR(INDEX(tblStellplatz[Stellplatz],ROW()-1),"")</f>
        <v/>
      </c>
      <c r="B921">
        <f>IFERROR(INDEX(tblStellplatz[SAP],ROW()-1),"")</f>
        <v/>
      </c>
      <c r="C921">
        <f>IF(B921="","",IFERROR(INDEX(tblMaterial[Bezeichnung],MATCH(B921,tblMaterial[SAP],0)),"?"))</f>
        <v/>
      </c>
      <c r="D921">
        <f>IF(B921="","",IFERROR(INDEX(tblMaterial[Lagerstand],MATCH(B921,tblMaterial[SAP],0)),"?"))</f>
        <v/>
      </c>
      <c r="E921">
        <f>IF(B921="","",IFERROR(INDEX(tblMaterial[Meldebestand],MATCH(B921,tblMaterial[SAP],0)),"?"))</f>
        <v/>
      </c>
      <c r="F921">
        <f>IF(OR(B921="",NOT(ISNUMBER(D921))),"",IF(D921&lt;E921,"JA",""))</f>
        <v/>
      </c>
    </row>
    <row r="922">
      <c r="A922">
        <f>IFERROR(INDEX(tblStellplatz[Stellplatz],ROW()-1),"")</f>
        <v/>
      </c>
      <c r="B922">
        <f>IFERROR(INDEX(tblStellplatz[SAP],ROW()-1),"")</f>
        <v/>
      </c>
      <c r="C922">
        <f>IF(B922="","",IFERROR(INDEX(tblMaterial[Bezeichnung],MATCH(B922,tblMaterial[SAP],0)),"?"))</f>
        <v/>
      </c>
      <c r="D922">
        <f>IF(B922="","",IFERROR(INDEX(tblMaterial[Lagerstand],MATCH(B922,tblMaterial[SAP],0)),"?"))</f>
        <v/>
      </c>
      <c r="E922">
        <f>IF(B922="","",IFERROR(INDEX(tblMaterial[Meldebestand],MATCH(B922,tblMaterial[SAP],0)),"?"))</f>
        <v/>
      </c>
      <c r="F922">
        <f>IF(OR(B922="",NOT(ISNUMBER(D922))),"",IF(D922&lt;E922,"JA",""))</f>
        <v/>
      </c>
    </row>
    <row r="923">
      <c r="A923">
        <f>IFERROR(INDEX(tblStellplatz[Stellplatz],ROW()-1),"")</f>
        <v/>
      </c>
      <c r="B923">
        <f>IFERROR(INDEX(tblStellplatz[SAP],ROW()-1),"")</f>
        <v/>
      </c>
      <c r="C923">
        <f>IF(B923="","",IFERROR(INDEX(tblMaterial[Bezeichnung],MATCH(B923,tblMaterial[SAP],0)),"?"))</f>
        <v/>
      </c>
      <c r="D923">
        <f>IF(B923="","",IFERROR(INDEX(tblMaterial[Lagerstand],MATCH(B923,tblMaterial[SAP],0)),"?"))</f>
        <v/>
      </c>
      <c r="E923">
        <f>IF(B923="","",IFERROR(INDEX(tblMaterial[Meldebestand],MATCH(B923,tblMaterial[SAP],0)),"?"))</f>
        <v/>
      </c>
      <c r="F923">
        <f>IF(OR(B923="",NOT(ISNUMBER(D923))),"",IF(D923&lt;E923,"JA",""))</f>
        <v/>
      </c>
    </row>
    <row r="924">
      <c r="A924">
        <f>IFERROR(INDEX(tblStellplatz[Stellplatz],ROW()-1),"")</f>
        <v/>
      </c>
      <c r="B924">
        <f>IFERROR(INDEX(tblStellplatz[SAP],ROW()-1),"")</f>
        <v/>
      </c>
      <c r="C924">
        <f>IF(B924="","",IFERROR(INDEX(tblMaterial[Bezeichnung],MATCH(B924,tblMaterial[SAP],0)),"?"))</f>
        <v/>
      </c>
      <c r="D924">
        <f>IF(B924="","",IFERROR(INDEX(tblMaterial[Lagerstand],MATCH(B924,tblMaterial[SAP],0)),"?"))</f>
        <v/>
      </c>
      <c r="E924">
        <f>IF(B924="","",IFERROR(INDEX(tblMaterial[Meldebestand],MATCH(B924,tblMaterial[SAP],0)),"?"))</f>
        <v/>
      </c>
      <c r="F924">
        <f>IF(OR(B924="",NOT(ISNUMBER(D924))),"",IF(D924&lt;E924,"JA",""))</f>
        <v/>
      </c>
    </row>
    <row r="925">
      <c r="A925">
        <f>IFERROR(INDEX(tblStellplatz[Stellplatz],ROW()-1),"")</f>
        <v/>
      </c>
      <c r="B925">
        <f>IFERROR(INDEX(tblStellplatz[SAP],ROW()-1),"")</f>
        <v/>
      </c>
      <c r="C925">
        <f>IF(B925="","",IFERROR(INDEX(tblMaterial[Bezeichnung],MATCH(B925,tblMaterial[SAP],0)),"?"))</f>
        <v/>
      </c>
      <c r="D925">
        <f>IF(B925="","",IFERROR(INDEX(tblMaterial[Lagerstand],MATCH(B925,tblMaterial[SAP],0)),"?"))</f>
        <v/>
      </c>
      <c r="E925">
        <f>IF(B925="","",IFERROR(INDEX(tblMaterial[Meldebestand],MATCH(B925,tblMaterial[SAP],0)),"?"))</f>
        <v/>
      </c>
      <c r="F925">
        <f>IF(OR(B925="",NOT(ISNUMBER(D925))),"",IF(D925&lt;E925,"JA",""))</f>
        <v/>
      </c>
    </row>
    <row r="926">
      <c r="A926">
        <f>IFERROR(INDEX(tblStellplatz[Stellplatz],ROW()-1),"")</f>
        <v/>
      </c>
      <c r="B926">
        <f>IFERROR(INDEX(tblStellplatz[SAP],ROW()-1),"")</f>
        <v/>
      </c>
      <c r="C926">
        <f>IF(B926="","",IFERROR(INDEX(tblMaterial[Bezeichnung],MATCH(B926,tblMaterial[SAP],0)),"?"))</f>
        <v/>
      </c>
      <c r="D926">
        <f>IF(B926="","",IFERROR(INDEX(tblMaterial[Lagerstand],MATCH(B926,tblMaterial[SAP],0)),"?"))</f>
        <v/>
      </c>
      <c r="E926">
        <f>IF(B926="","",IFERROR(INDEX(tblMaterial[Meldebestand],MATCH(B926,tblMaterial[SAP],0)),"?"))</f>
        <v/>
      </c>
      <c r="F926">
        <f>IF(OR(B926="",NOT(ISNUMBER(D926))),"",IF(D926&lt;E926,"JA",""))</f>
        <v/>
      </c>
    </row>
    <row r="927">
      <c r="A927">
        <f>IFERROR(INDEX(tblStellplatz[Stellplatz],ROW()-1),"")</f>
        <v/>
      </c>
      <c r="B927">
        <f>IFERROR(INDEX(tblStellplatz[SAP],ROW()-1),"")</f>
        <v/>
      </c>
      <c r="C927">
        <f>IF(B927="","",IFERROR(INDEX(tblMaterial[Bezeichnung],MATCH(B927,tblMaterial[SAP],0)),"?"))</f>
        <v/>
      </c>
      <c r="D927">
        <f>IF(B927="","",IFERROR(INDEX(tblMaterial[Lagerstand],MATCH(B927,tblMaterial[SAP],0)),"?"))</f>
        <v/>
      </c>
      <c r="E927">
        <f>IF(B927="","",IFERROR(INDEX(tblMaterial[Meldebestand],MATCH(B927,tblMaterial[SAP],0)),"?"))</f>
        <v/>
      </c>
      <c r="F927">
        <f>IF(OR(B927="",NOT(ISNUMBER(D927))),"",IF(D927&lt;E927,"JA",""))</f>
        <v/>
      </c>
    </row>
    <row r="928">
      <c r="A928">
        <f>IFERROR(INDEX(tblStellplatz[Stellplatz],ROW()-1),"")</f>
        <v/>
      </c>
      <c r="B928">
        <f>IFERROR(INDEX(tblStellplatz[SAP],ROW()-1),"")</f>
        <v/>
      </c>
      <c r="C928">
        <f>IF(B928="","",IFERROR(INDEX(tblMaterial[Bezeichnung],MATCH(B928,tblMaterial[SAP],0)),"?"))</f>
        <v/>
      </c>
      <c r="D928">
        <f>IF(B928="","",IFERROR(INDEX(tblMaterial[Lagerstand],MATCH(B928,tblMaterial[SAP],0)),"?"))</f>
        <v/>
      </c>
      <c r="E928">
        <f>IF(B928="","",IFERROR(INDEX(tblMaterial[Meldebestand],MATCH(B928,tblMaterial[SAP],0)),"?"))</f>
        <v/>
      </c>
      <c r="F928">
        <f>IF(OR(B928="",NOT(ISNUMBER(D928))),"",IF(D928&lt;E928,"JA",""))</f>
        <v/>
      </c>
    </row>
    <row r="929">
      <c r="A929">
        <f>IFERROR(INDEX(tblStellplatz[Stellplatz],ROW()-1),"")</f>
        <v/>
      </c>
      <c r="B929">
        <f>IFERROR(INDEX(tblStellplatz[SAP],ROW()-1),"")</f>
        <v/>
      </c>
      <c r="C929">
        <f>IF(B929="","",IFERROR(INDEX(tblMaterial[Bezeichnung],MATCH(B929,tblMaterial[SAP],0)),"?"))</f>
        <v/>
      </c>
      <c r="D929">
        <f>IF(B929="","",IFERROR(INDEX(tblMaterial[Lagerstand],MATCH(B929,tblMaterial[SAP],0)),"?"))</f>
        <v/>
      </c>
      <c r="E929">
        <f>IF(B929="","",IFERROR(INDEX(tblMaterial[Meldebestand],MATCH(B929,tblMaterial[SAP],0)),"?"))</f>
        <v/>
      </c>
      <c r="F929">
        <f>IF(OR(B929="",NOT(ISNUMBER(D929))),"",IF(D929&lt;E929,"JA",""))</f>
        <v/>
      </c>
    </row>
    <row r="930">
      <c r="A930">
        <f>IFERROR(INDEX(tblStellplatz[Stellplatz],ROW()-1),"")</f>
        <v/>
      </c>
      <c r="B930">
        <f>IFERROR(INDEX(tblStellplatz[SAP],ROW()-1),"")</f>
        <v/>
      </c>
      <c r="C930">
        <f>IF(B930="","",IFERROR(INDEX(tblMaterial[Bezeichnung],MATCH(B930,tblMaterial[SAP],0)),"?"))</f>
        <v/>
      </c>
      <c r="D930">
        <f>IF(B930="","",IFERROR(INDEX(tblMaterial[Lagerstand],MATCH(B930,tblMaterial[SAP],0)),"?"))</f>
        <v/>
      </c>
      <c r="E930">
        <f>IF(B930="","",IFERROR(INDEX(tblMaterial[Meldebestand],MATCH(B930,tblMaterial[SAP],0)),"?"))</f>
        <v/>
      </c>
      <c r="F930">
        <f>IF(OR(B930="",NOT(ISNUMBER(D930))),"",IF(D930&lt;E930,"JA",""))</f>
        <v/>
      </c>
    </row>
    <row r="931">
      <c r="A931">
        <f>IFERROR(INDEX(tblStellplatz[Stellplatz],ROW()-1),"")</f>
        <v/>
      </c>
      <c r="B931">
        <f>IFERROR(INDEX(tblStellplatz[SAP],ROW()-1),"")</f>
        <v/>
      </c>
      <c r="C931">
        <f>IF(B931="","",IFERROR(INDEX(tblMaterial[Bezeichnung],MATCH(B931,tblMaterial[SAP],0)),"?"))</f>
        <v/>
      </c>
      <c r="D931">
        <f>IF(B931="","",IFERROR(INDEX(tblMaterial[Lagerstand],MATCH(B931,tblMaterial[SAP],0)),"?"))</f>
        <v/>
      </c>
      <c r="E931">
        <f>IF(B931="","",IFERROR(INDEX(tblMaterial[Meldebestand],MATCH(B931,tblMaterial[SAP],0)),"?"))</f>
        <v/>
      </c>
      <c r="F931">
        <f>IF(OR(B931="",NOT(ISNUMBER(D931))),"",IF(D931&lt;E931,"JA",""))</f>
        <v/>
      </c>
    </row>
    <row r="932">
      <c r="A932">
        <f>IFERROR(INDEX(tblStellplatz[Stellplatz],ROW()-1),"")</f>
        <v/>
      </c>
      <c r="B932">
        <f>IFERROR(INDEX(tblStellplatz[SAP],ROW()-1),"")</f>
        <v/>
      </c>
      <c r="C932">
        <f>IF(B932="","",IFERROR(INDEX(tblMaterial[Bezeichnung],MATCH(B932,tblMaterial[SAP],0)),"?"))</f>
        <v/>
      </c>
      <c r="D932">
        <f>IF(B932="","",IFERROR(INDEX(tblMaterial[Lagerstand],MATCH(B932,tblMaterial[SAP],0)),"?"))</f>
        <v/>
      </c>
      <c r="E932">
        <f>IF(B932="","",IFERROR(INDEX(tblMaterial[Meldebestand],MATCH(B932,tblMaterial[SAP],0)),"?"))</f>
        <v/>
      </c>
      <c r="F932">
        <f>IF(OR(B932="",NOT(ISNUMBER(D932))),"",IF(D932&lt;E932,"JA",""))</f>
        <v/>
      </c>
    </row>
    <row r="933">
      <c r="A933">
        <f>IFERROR(INDEX(tblStellplatz[Stellplatz],ROW()-1),"")</f>
        <v/>
      </c>
      <c r="B933">
        <f>IFERROR(INDEX(tblStellplatz[SAP],ROW()-1),"")</f>
        <v/>
      </c>
      <c r="C933">
        <f>IF(B933="","",IFERROR(INDEX(tblMaterial[Bezeichnung],MATCH(B933,tblMaterial[SAP],0)),"?"))</f>
        <v/>
      </c>
      <c r="D933">
        <f>IF(B933="","",IFERROR(INDEX(tblMaterial[Lagerstand],MATCH(B933,tblMaterial[SAP],0)),"?"))</f>
        <v/>
      </c>
      <c r="E933">
        <f>IF(B933="","",IFERROR(INDEX(tblMaterial[Meldebestand],MATCH(B933,tblMaterial[SAP],0)),"?"))</f>
        <v/>
      </c>
      <c r="F933">
        <f>IF(OR(B933="",NOT(ISNUMBER(D933))),"",IF(D933&lt;E933,"JA",""))</f>
        <v/>
      </c>
    </row>
    <row r="934">
      <c r="A934">
        <f>IFERROR(INDEX(tblStellplatz[Stellplatz],ROW()-1),"")</f>
        <v/>
      </c>
      <c r="B934">
        <f>IFERROR(INDEX(tblStellplatz[SAP],ROW()-1),"")</f>
        <v/>
      </c>
      <c r="C934">
        <f>IF(B934="","",IFERROR(INDEX(tblMaterial[Bezeichnung],MATCH(B934,tblMaterial[SAP],0)),"?"))</f>
        <v/>
      </c>
      <c r="D934">
        <f>IF(B934="","",IFERROR(INDEX(tblMaterial[Lagerstand],MATCH(B934,tblMaterial[SAP],0)),"?"))</f>
        <v/>
      </c>
      <c r="E934">
        <f>IF(B934="","",IFERROR(INDEX(tblMaterial[Meldebestand],MATCH(B934,tblMaterial[SAP],0)),"?"))</f>
        <v/>
      </c>
      <c r="F934">
        <f>IF(OR(B934="",NOT(ISNUMBER(D934))),"",IF(D934&lt;E934,"JA",""))</f>
        <v/>
      </c>
    </row>
    <row r="935">
      <c r="A935">
        <f>IFERROR(INDEX(tblStellplatz[Stellplatz],ROW()-1),"")</f>
        <v/>
      </c>
      <c r="B935">
        <f>IFERROR(INDEX(tblStellplatz[SAP],ROW()-1),"")</f>
        <v/>
      </c>
      <c r="C935">
        <f>IF(B935="","",IFERROR(INDEX(tblMaterial[Bezeichnung],MATCH(B935,tblMaterial[SAP],0)),"?"))</f>
        <v/>
      </c>
      <c r="D935">
        <f>IF(B935="","",IFERROR(INDEX(tblMaterial[Lagerstand],MATCH(B935,tblMaterial[SAP],0)),"?"))</f>
        <v/>
      </c>
      <c r="E935">
        <f>IF(B935="","",IFERROR(INDEX(tblMaterial[Meldebestand],MATCH(B935,tblMaterial[SAP],0)),"?"))</f>
        <v/>
      </c>
      <c r="F935">
        <f>IF(OR(B935="",NOT(ISNUMBER(D935))),"",IF(D935&lt;E935,"JA",""))</f>
        <v/>
      </c>
    </row>
    <row r="936">
      <c r="A936">
        <f>IFERROR(INDEX(tblStellplatz[Stellplatz],ROW()-1),"")</f>
        <v/>
      </c>
      <c r="B936">
        <f>IFERROR(INDEX(tblStellplatz[SAP],ROW()-1),"")</f>
        <v/>
      </c>
      <c r="C936">
        <f>IF(B936="","",IFERROR(INDEX(tblMaterial[Bezeichnung],MATCH(B936,tblMaterial[SAP],0)),"?"))</f>
        <v/>
      </c>
      <c r="D936">
        <f>IF(B936="","",IFERROR(INDEX(tblMaterial[Lagerstand],MATCH(B936,tblMaterial[SAP],0)),"?"))</f>
        <v/>
      </c>
      <c r="E936">
        <f>IF(B936="","",IFERROR(INDEX(tblMaterial[Meldebestand],MATCH(B936,tblMaterial[SAP],0)),"?"))</f>
        <v/>
      </c>
      <c r="F936">
        <f>IF(OR(B936="",NOT(ISNUMBER(D936))),"",IF(D936&lt;E936,"JA",""))</f>
        <v/>
      </c>
    </row>
    <row r="937">
      <c r="A937">
        <f>IFERROR(INDEX(tblStellplatz[Stellplatz],ROW()-1),"")</f>
        <v/>
      </c>
      <c r="B937">
        <f>IFERROR(INDEX(tblStellplatz[SAP],ROW()-1),"")</f>
        <v/>
      </c>
      <c r="C937">
        <f>IF(B937="","",IFERROR(INDEX(tblMaterial[Bezeichnung],MATCH(B937,tblMaterial[SAP],0)),"?"))</f>
        <v/>
      </c>
      <c r="D937">
        <f>IF(B937="","",IFERROR(INDEX(tblMaterial[Lagerstand],MATCH(B937,tblMaterial[SAP],0)),"?"))</f>
        <v/>
      </c>
      <c r="E937">
        <f>IF(B937="","",IFERROR(INDEX(tblMaterial[Meldebestand],MATCH(B937,tblMaterial[SAP],0)),"?"))</f>
        <v/>
      </c>
      <c r="F937">
        <f>IF(OR(B937="",NOT(ISNUMBER(D937))),"",IF(D937&lt;E937,"JA",""))</f>
        <v/>
      </c>
    </row>
    <row r="938">
      <c r="A938">
        <f>IFERROR(INDEX(tblStellplatz[Stellplatz],ROW()-1),"")</f>
        <v/>
      </c>
      <c r="B938">
        <f>IFERROR(INDEX(tblStellplatz[SAP],ROW()-1),"")</f>
        <v/>
      </c>
      <c r="C938">
        <f>IF(B938="","",IFERROR(INDEX(tblMaterial[Bezeichnung],MATCH(B938,tblMaterial[SAP],0)),"?"))</f>
        <v/>
      </c>
      <c r="D938">
        <f>IF(B938="","",IFERROR(INDEX(tblMaterial[Lagerstand],MATCH(B938,tblMaterial[SAP],0)),"?"))</f>
        <v/>
      </c>
      <c r="E938">
        <f>IF(B938="","",IFERROR(INDEX(tblMaterial[Meldebestand],MATCH(B938,tblMaterial[SAP],0)),"?"))</f>
        <v/>
      </c>
      <c r="F938">
        <f>IF(OR(B938="",NOT(ISNUMBER(D938))),"",IF(D938&lt;E938,"JA",""))</f>
        <v/>
      </c>
    </row>
    <row r="939">
      <c r="A939">
        <f>IFERROR(INDEX(tblStellplatz[Stellplatz],ROW()-1),"")</f>
        <v/>
      </c>
      <c r="B939">
        <f>IFERROR(INDEX(tblStellplatz[SAP],ROW()-1),"")</f>
        <v/>
      </c>
      <c r="C939">
        <f>IF(B939="","",IFERROR(INDEX(tblMaterial[Bezeichnung],MATCH(B939,tblMaterial[SAP],0)),"?"))</f>
        <v/>
      </c>
      <c r="D939">
        <f>IF(B939="","",IFERROR(INDEX(tblMaterial[Lagerstand],MATCH(B939,tblMaterial[SAP],0)),"?"))</f>
        <v/>
      </c>
      <c r="E939">
        <f>IF(B939="","",IFERROR(INDEX(tblMaterial[Meldebestand],MATCH(B939,tblMaterial[SAP],0)),"?"))</f>
        <v/>
      </c>
      <c r="F939">
        <f>IF(OR(B939="",NOT(ISNUMBER(D939))),"",IF(D939&lt;E939,"JA",""))</f>
        <v/>
      </c>
    </row>
    <row r="940">
      <c r="A940">
        <f>IFERROR(INDEX(tblStellplatz[Stellplatz],ROW()-1),"")</f>
        <v/>
      </c>
      <c r="B940">
        <f>IFERROR(INDEX(tblStellplatz[SAP],ROW()-1),"")</f>
        <v/>
      </c>
      <c r="C940">
        <f>IF(B940="","",IFERROR(INDEX(tblMaterial[Bezeichnung],MATCH(B940,tblMaterial[SAP],0)),"?"))</f>
        <v/>
      </c>
      <c r="D940">
        <f>IF(B940="","",IFERROR(INDEX(tblMaterial[Lagerstand],MATCH(B940,tblMaterial[SAP],0)),"?"))</f>
        <v/>
      </c>
      <c r="E940">
        <f>IF(B940="","",IFERROR(INDEX(tblMaterial[Meldebestand],MATCH(B940,tblMaterial[SAP],0)),"?"))</f>
        <v/>
      </c>
      <c r="F940">
        <f>IF(OR(B940="",NOT(ISNUMBER(D940))),"",IF(D940&lt;E940,"JA",""))</f>
        <v/>
      </c>
    </row>
    <row r="941">
      <c r="A941">
        <f>IFERROR(INDEX(tblStellplatz[Stellplatz],ROW()-1),"")</f>
        <v/>
      </c>
      <c r="B941">
        <f>IFERROR(INDEX(tblStellplatz[SAP],ROW()-1),"")</f>
        <v/>
      </c>
      <c r="C941">
        <f>IF(B941="","",IFERROR(INDEX(tblMaterial[Bezeichnung],MATCH(B941,tblMaterial[SAP],0)),"?"))</f>
        <v/>
      </c>
      <c r="D941">
        <f>IF(B941="","",IFERROR(INDEX(tblMaterial[Lagerstand],MATCH(B941,tblMaterial[SAP],0)),"?"))</f>
        <v/>
      </c>
      <c r="E941">
        <f>IF(B941="","",IFERROR(INDEX(tblMaterial[Meldebestand],MATCH(B941,tblMaterial[SAP],0)),"?"))</f>
        <v/>
      </c>
      <c r="F941">
        <f>IF(OR(B941="",NOT(ISNUMBER(D941))),"",IF(D941&lt;E941,"JA",""))</f>
        <v/>
      </c>
    </row>
    <row r="942">
      <c r="A942">
        <f>IFERROR(INDEX(tblStellplatz[Stellplatz],ROW()-1),"")</f>
        <v/>
      </c>
      <c r="B942">
        <f>IFERROR(INDEX(tblStellplatz[SAP],ROW()-1),"")</f>
        <v/>
      </c>
      <c r="C942">
        <f>IF(B942="","",IFERROR(INDEX(tblMaterial[Bezeichnung],MATCH(B942,tblMaterial[SAP],0)),"?"))</f>
        <v/>
      </c>
      <c r="D942">
        <f>IF(B942="","",IFERROR(INDEX(tblMaterial[Lagerstand],MATCH(B942,tblMaterial[SAP],0)),"?"))</f>
        <v/>
      </c>
      <c r="E942">
        <f>IF(B942="","",IFERROR(INDEX(tblMaterial[Meldebestand],MATCH(B942,tblMaterial[SAP],0)),"?"))</f>
        <v/>
      </c>
      <c r="F942">
        <f>IF(OR(B942="",NOT(ISNUMBER(D942))),"",IF(D942&lt;E942,"JA",""))</f>
        <v/>
      </c>
    </row>
    <row r="943">
      <c r="A943">
        <f>IFERROR(INDEX(tblStellplatz[Stellplatz],ROW()-1),"")</f>
        <v/>
      </c>
      <c r="B943">
        <f>IFERROR(INDEX(tblStellplatz[SAP],ROW()-1),"")</f>
        <v/>
      </c>
      <c r="C943">
        <f>IF(B943="","",IFERROR(INDEX(tblMaterial[Bezeichnung],MATCH(B943,tblMaterial[SAP],0)),"?"))</f>
        <v/>
      </c>
      <c r="D943">
        <f>IF(B943="","",IFERROR(INDEX(tblMaterial[Lagerstand],MATCH(B943,tblMaterial[SAP],0)),"?"))</f>
        <v/>
      </c>
      <c r="E943">
        <f>IF(B943="","",IFERROR(INDEX(tblMaterial[Meldebestand],MATCH(B943,tblMaterial[SAP],0)),"?"))</f>
        <v/>
      </c>
      <c r="F943">
        <f>IF(OR(B943="",NOT(ISNUMBER(D943))),"",IF(D943&lt;E943,"JA",""))</f>
        <v/>
      </c>
    </row>
    <row r="944">
      <c r="A944">
        <f>IFERROR(INDEX(tblStellplatz[Stellplatz],ROW()-1),"")</f>
        <v/>
      </c>
      <c r="B944">
        <f>IFERROR(INDEX(tblStellplatz[SAP],ROW()-1),"")</f>
        <v/>
      </c>
      <c r="C944">
        <f>IF(B944="","",IFERROR(INDEX(tblMaterial[Bezeichnung],MATCH(B944,tblMaterial[SAP],0)),"?"))</f>
        <v/>
      </c>
      <c r="D944">
        <f>IF(B944="","",IFERROR(INDEX(tblMaterial[Lagerstand],MATCH(B944,tblMaterial[SAP],0)),"?"))</f>
        <v/>
      </c>
      <c r="E944">
        <f>IF(B944="","",IFERROR(INDEX(tblMaterial[Meldebestand],MATCH(B944,tblMaterial[SAP],0)),"?"))</f>
        <v/>
      </c>
      <c r="F944">
        <f>IF(OR(B944="",NOT(ISNUMBER(D944))),"",IF(D944&lt;E944,"JA",""))</f>
        <v/>
      </c>
    </row>
    <row r="945">
      <c r="A945">
        <f>IFERROR(INDEX(tblStellplatz[Stellplatz],ROW()-1),"")</f>
        <v/>
      </c>
      <c r="B945">
        <f>IFERROR(INDEX(tblStellplatz[SAP],ROW()-1),"")</f>
        <v/>
      </c>
      <c r="C945">
        <f>IF(B945="","",IFERROR(INDEX(tblMaterial[Bezeichnung],MATCH(B945,tblMaterial[SAP],0)),"?"))</f>
        <v/>
      </c>
      <c r="D945">
        <f>IF(B945="","",IFERROR(INDEX(tblMaterial[Lagerstand],MATCH(B945,tblMaterial[SAP],0)),"?"))</f>
        <v/>
      </c>
      <c r="E945">
        <f>IF(B945="","",IFERROR(INDEX(tblMaterial[Meldebestand],MATCH(B945,tblMaterial[SAP],0)),"?"))</f>
        <v/>
      </c>
      <c r="F945">
        <f>IF(OR(B945="",NOT(ISNUMBER(D945))),"",IF(D945&lt;E945,"JA",""))</f>
        <v/>
      </c>
    </row>
    <row r="946">
      <c r="A946">
        <f>IFERROR(INDEX(tblStellplatz[Stellplatz],ROW()-1),"")</f>
        <v/>
      </c>
      <c r="B946">
        <f>IFERROR(INDEX(tblStellplatz[SAP],ROW()-1),"")</f>
        <v/>
      </c>
      <c r="C946">
        <f>IF(B946="","",IFERROR(INDEX(tblMaterial[Bezeichnung],MATCH(B946,tblMaterial[SAP],0)),"?"))</f>
        <v/>
      </c>
      <c r="D946">
        <f>IF(B946="","",IFERROR(INDEX(tblMaterial[Lagerstand],MATCH(B946,tblMaterial[SAP],0)),"?"))</f>
        <v/>
      </c>
      <c r="E946">
        <f>IF(B946="","",IFERROR(INDEX(tblMaterial[Meldebestand],MATCH(B946,tblMaterial[SAP],0)),"?"))</f>
        <v/>
      </c>
      <c r="F946">
        <f>IF(OR(B946="",NOT(ISNUMBER(D946))),"",IF(D946&lt;E946,"JA",""))</f>
        <v/>
      </c>
    </row>
    <row r="947">
      <c r="A947">
        <f>IFERROR(INDEX(tblStellplatz[Stellplatz],ROW()-1),"")</f>
        <v/>
      </c>
      <c r="B947">
        <f>IFERROR(INDEX(tblStellplatz[SAP],ROW()-1),"")</f>
        <v/>
      </c>
      <c r="C947">
        <f>IF(B947="","",IFERROR(INDEX(tblMaterial[Bezeichnung],MATCH(B947,tblMaterial[SAP],0)),"?"))</f>
        <v/>
      </c>
      <c r="D947">
        <f>IF(B947="","",IFERROR(INDEX(tblMaterial[Lagerstand],MATCH(B947,tblMaterial[SAP],0)),"?"))</f>
        <v/>
      </c>
      <c r="E947">
        <f>IF(B947="","",IFERROR(INDEX(tblMaterial[Meldebestand],MATCH(B947,tblMaterial[SAP],0)),"?"))</f>
        <v/>
      </c>
      <c r="F947">
        <f>IF(OR(B947="",NOT(ISNUMBER(D947))),"",IF(D947&lt;E947,"JA",""))</f>
        <v/>
      </c>
    </row>
    <row r="948">
      <c r="A948">
        <f>IFERROR(INDEX(tblStellplatz[Stellplatz],ROW()-1),"")</f>
        <v/>
      </c>
      <c r="B948">
        <f>IFERROR(INDEX(tblStellplatz[SAP],ROW()-1),"")</f>
        <v/>
      </c>
      <c r="C948">
        <f>IF(B948="","",IFERROR(INDEX(tblMaterial[Bezeichnung],MATCH(B948,tblMaterial[SAP],0)),"?"))</f>
        <v/>
      </c>
      <c r="D948">
        <f>IF(B948="","",IFERROR(INDEX(tblMaterial[Lagerstand],MATCH(B948,tblMaterial[SAP],0)),"?"))</f>
        <v/>
      </c>
      <c r="E948">
        <f>IF(B948="","",IFERROR(INDEX(tblMaterial[Meldebestand],MATCH(B948,tblMaterial[SAP],0)),"?"))</f>
        <v/>
      </c>
      <c r="F948">
        <f>IF(OR(B948="",NOT(ISNUMBER(D948))),"",IF(D948&lt;E948,"JA",""))</f>
        <v/>
      </c>
    </row>
    <row r="949">
      <c r="A949">
        <f>IFERROR(INDEX(tblStellplatz[Stellplatz],ROW()-1),"")</f>
        <v/>
      </c>
      <c r="B949">
        <f>IFERROR(INDEX(tblStellplatz[SAP],ROW()-1),"")</f>
        <v/>
      </c>
      <c r="C949">
        <f>IF(B949="","",IFERROR(INDEX(tblMaterial[Bezeichnung],MATCH(B949,tblMaterial[SAP],0)),"?"))</f>
        <v/>
      </c>
      <c r="D949">
        <f>IF(B949="","",IFERROR(INDEX(tblMaterial[Lagerstand],MATCH(B949,tblMaterial[SAP],0)),"?"))</f>
        <v/>
      </c>
      <c r="E949">
        <f>IF(B949="","",IFERROR(INDEX(tblMaterial[Meldebestand],MATCH(B949,tblMaterial[SAP],0)),"?"))</f>
        <v/>
      </c>
      <c r="F949">
        <f>IF(OR(B949="",NOT(ISNUMBER(D949))),"",IF(D949&lt;E949,"JA",""))</f>
        <v/>
      </c>
    </row>
    <row r="950">
      <c r="A950">
        <f>IFERROR(INDEX(tblStellplatz[Stellplatz],ROW()-1),"")</f>
        <v/>
      </c>
      <c r="B950">
        <f>IFERROR(INDEX(tblStellplatz[SAP],ROW()-1),"")</f>
        <v/>
      </c>
      <c r="C950">
        <f>IF(B950="","",IFERROR(INDEX(tblMaterial[Bezeichnung],MATCH(B950,tblMaterial[SAP],0)),"?"))</f>
        <v/>
      </c>
      <c r="D950">
        <f>IF(B950="","",IFERROR(INDEX(tblMaterial[Lagerstand],MATCH(B950,tblMaterial[SAP],0)),"?"))</f>
        <v/>
      </c>
      <c r="E950">
        <f>IF(B950="","",IFERROR(INDEX(tblMaterial[Meldebestand],MATCH(B950,tblMaterial[SAP],0)),"?"))</f>
        <v/>
      </c>
      <c r="F950">
        <f>IF(OR(B950="",NOT(ISNUMBER(D950))),"",IF(D950&lt;E950,"JA",""))</f>
        <v/>
      </c>
    </row>
    <row r="951">
      <c r="A951">
        <f>IFERROR(INDEX(tblStellplatz[Stellplatz],ROW()-1),"")</f>
        <v/>
      </c>
      <c r="B951">
        <f>IFERROR(INDEX(tblStellplatz[SAP],ROW()-1),"")</f>
        <v/>
      </c>
      <c r="C951">
        <f>IF(B951="","",IFERROR(INDEX(tblMaterial[Bezeichnung],MATCH(B951,tblMaterial[SAP],0)),"?"))</f>
        <v/>
      </c>
      <c r="D951">
        <f>IF(B951="","",IFERROR(INDEX(tblMaterial[Lagerstand],MATCH(B951,tblMaterial[SAP],0)),"?"))</f>
        <v/>
      </c>
      <c r="E951">
        <f>IF(B951="","",IFERROR(INDEX(tblMaterial[Meldebestand],MATCH(B951,tblMaterial[SAP],0)),"?"))</f>
        <v/>
      </c>
      <c r="F951">
        <f>IF(OR(B951="",NOT(ISNUMBER(D951))),"",IF(D951&lt;E951,"JA",""))</f>
        <v/>
      </c>
    </row>
    <row r="952">
      <c r="A952">
        <f>IFERROR(INDEX(tblStellplatz[Stellplatz],ROW()-1),"")</f>
        <v/>
      </c>
      <c r="B952">
        <f>IFERROR(INDEX(tblStellplatz[SAP],ROW()-1),"")</f>
        <v/>
      </c>
      <c r="C952">
        <f>IF(B952="","",IFERROR(INDEX(tblMaterial[Bezeichnung],MATCH(B952,tblMaterial[SAP],0)),"?"))</f>
        <v/>
      </c>
      <c r="D952">
        <f>IF(B952="","",IFERROR(INDEX(tblMaterial[Lagerstand],MATCH(B952,tblMaterial[SAP],0)),"?"))</f>
        <v/>
      </c>
      <c r="E952">
        <f>IF(B952="","",IFERROR(INDEX(tblMaterial[Meldebestand],MATCH(B952,tblMaterial[SAP],0)),"?"))</f>
        <v/>
      </c>
      <c r="F952">
        <f>IF(OR(B952="",NOT(ISNUMBER(D952))),"",IF(D952&lt;E952,"JA",""))</f>
        <v/>
      </c>
    </row>
    <row r="953">
      <c r="A953">
        <f>IFERROR(INDEX(tblStellplatz[Stellplatz],ROW()-1),"")</f>
        <v/>
      </c>
      <c r="B953">
        <f>IFERROR(INDEX(tblStellplatz[SAP],ROW()-1),"")</f>
        <v/>
      </c>
      <c r="C953">
        <f>IF(B953="","",IFERROR(INDEX(tblMaterial[Bezeichnung],MATCH(B953,tblMaterial[SAP],0)),"?"))</f>
        <v/>
      </c>
      <c r="D953">
        <f>IF(B953="","",IFERROR(INDEX(tblMaterial[Lagerstand],MATCH(B953,tblMaterial[SAP],0)),"?"))</f>
        <v/>
      </c>
      <c r="E953">
        <f>IF(B953="","",IFERROR(INDEX(tblMaterial[Meldebestand],MATCH(B953,tblMaterial[SAP],0)),"?"))</f>
        <v/>
      </c>
      <c r="F953">
        <f>IF(OR(B953="",NOT(ISNUMBER(D953))),"",IF(D953&lt;E953,"JA",""))</f>
        <v/>
      </c>
    </row>
    <row r="954">
      <c r="A954">
        <f>IFERROR(INDEX(tblStellplatz[Stellplatz],ROW()-1),"")</f>
        <v/>
      </c>
      <c r="B954">
        <f>IFERROR(INDEX(tblStellplatz[SAP],ROW()-1),"")</f>
        <v/>
      </c>
      <c r="C954">
        <f>IF(B954="","",IFERROR(INDEX(tblMaterial[Bezeichnung],MATCH(B954,tblMaterial[SAP],0)),"?"))</f>
        <v/>
      </c>
      <c r="D954">
        <f>IF(B954="","",IFERROR(INDEX(tblMaterial[Lagerstand],MATCH(B954,tblMaterial[SAP],0)),"?"))</f>
        <v/>
      </c>
      <c r="E954">
        <f>IF(B954="","",IFERROR(INDEX(tblMaterial[Meldebestand],MATCH(B954,tblMaterial[SAP],0)),"?"))</f>
        <v/>
      </c>
      <c r="F954">
        <f>IF(OR(B954="",NOT(ISNUMBER(D954))),"",IF(D954&lt;E954,"JA",""))</f>
        <v/>
      </c>
    </row>
    <row r="955">
      <c r="A955">
        <f>IFERROR(INDEX(tblStellplatz[Stellplatz],ROW()-1),"")</f>
        <v/>
      </c>
      <c r="B955">
        <f>IFERROR(INDEX(tblStellplatz[SAP],ROW()-1),"")</f>
        <v/>
      </c>
      <c r="C955">
        <f>IF(B955="","",IFERROR(INDEX(tblMaterial[Bezeichnung],MATCH(B955,tblMaterial[SAP],0)),"?"))</f>
        <v/>
      </c>
      <c r="D955">
        <f>IF(B955="","",IFERROR(INDEX(tblMaterial[Lagerstand],MATCH(B955,tblMaterial[SAP],0)),"?"))</f>
        <v/>
      </c>
      <c r="E955">
        <f>IF(B955="","",IFERROR(INDEX(tblMaterial[Meldebestand],MATCH(B955,tblMaterial[SAP],0)),"?"))</f>
        <v/>
      </c>
      <c r="F955">
        <f>IF(OR(B955="",NOT(ISNUMBER(D955))),"",IF(D955&lt;E955,"JA",""))</f>
        <v/>
      </c>
    </row>
    <row r="956">
      <c r="A956">
        <f>IFERROR(INDEX(tblStellplatz[Stellplatz],ROW()-1),"")</f>
        <v/>
      </c>
      <c r="B956">
        <f>IFERROR(INDEX(tblStellplatz[SAP],ROW()-1),"")</f>
        <v/>
      </c>
      <c r="C956">
        <f>IF(B956="","",IFERROR(INDEX(tblMaterial[Bezeichnung],MATCH(B956,tblMaterial[SAP],0)),"?"))</f>
        <v/>
      </c>
      <c r="D956">
        <f>IF(B956="","",IFERROR(INDEX(tblMaterial[Lagerstand],MATCH(B956,tblMaterial[SAP],0)),"?"))</f>
        <v/>
      </c>
      <c r="E956">
        <f>IF(B956="","",IFERROR(INDEX(tblMaterial[Meldebestand],MATCH(B956,tblMaterial[SAP],0)),"?"))</f>
        <v/>
      </c>
      <c r="F956">
        <f>IF(OR(B956="",NOT(ISNUMBER(D956))),"",IF(D956&lt;E956,"JA",""))</f>
        <v/>
      </c>
    </row>
    <row r="957">
      <c r="A957">
        <f>IFERROR(INDEX(tblStellplatz[Stellplatz],ROW()-1),"")</f>
        <v/>
      </c>
      <c r="B957">
        <f>IFERROR(INDEX(tblStellplatz[SAP],ROW()-1),"")</f>
        <v/>
      </c>
      <c r="C957">
        <f>IF(B957="","",IFERROR(INDEX(tblMaterial[Bezeichnung],MATCH(B957,tblMaterial[SAP],0)),"?"))</f>
        <v/>
      </c>
      <c r="D957">
        <f>IF(B957="","",IFERROR(INDEX(tblMaterial[Lagerstand],MATCH(B957,tblMaterial[SAP],0)),"?"))</f>
        <v/>
      </c>
      <c r="E957">
        <f>IF(B957="","",IFERROR(INDEX(tblMaterial[Meldebestand],MATCH(B957,tblMaterial[SAP],0)),"?"))</f>
        <v/>
      </c>
      <c r="F957">
        <f>IF(OR(B957="",NOT(ISNUMBER(D957))),"",IF(D957&lt;E957,"JA",""))</f>
        <v/>
      </c>
    </row>
    <row r="958">
      <c r="A958">
        <f>IFERROR(INDEX(tblStellplatz[Stellplatz],ROW()-1),"")</f>
        <v/>
      </c>
      <c r="B958">
        <f>IFERROR(INDEX(tblStellplatz[SAP],ROW()-1),"")</f>
        <v/>
      </c>
      <c r="C958">
        <f>IF(B958="","",IFERROR(INDEX(tblMaterial[Bezeichnung],MATCH(B958,tblMaterial[SAP],0)),"?"))</f>
        <v/>
      </c>
      <c r="D958">
        <f>IF(B958="","",IFERROR(INDEX(tblMaterial[Lagerstand],MATCH(B958,tblMaterial[SAP],0)),"?"))</f>
        <v/>
      </c>
      <c r="E958">
        <f>IF(B958="","",IFERROR(INDEX(tblMaterial[Meldebestand],MATCH(B958,tblMaterial[SAP],0)),"?"))</f>
        <v/>
      </c>
      <c r="F958">
        <f>IF(OR(B958="",NOT(ISNUMBER(D958))),"",IF(D958&lt;E958,"JA",""))</f>
        <v/>
      </c>
    </row>
    <row r="959">
      <c r="A959">
        <f>IFERROR(INDEX(tblStellplatz[Stellplatz],ROW()-1),"")</f>
        <v/>
      </c>
      <c r="B959">
        <f>IFERROR(INDEX(tblStellplatz[SAP],ROW()-1),"")</f>
        <v/>
      </c>
      <c r="C959">
        <f>IF(B959="","",IFERROR(INDEX(tblMaterial[Bezeichnung],MATCH(B959,tblMaterial[SAP],0)),"?"))</f>
        <v/>
      </c>
      <c r="D959">
        <f>IF(B959="","",IFERROR(INDEX(tblMaterial[Lagerstand],MATCH(B959,tblMaterial[SAP],0)),"?"))</f>
        <v/>
      </c>
      <c r="E959">
        <f>IF(B959="","",IFERROR(INDEX(tblMaterial[Meldebestand],MATCH(B959,tblMaterial[SAP],0)),"?"))</f>
        <v/>
      </c>
      <c r="F959">
        <f>IF(OR(B959="",NOT(ISNUMBER(D959))),"",IF(D959&lt;E959,"JA",""))</f>
        <v/>
      </c>
    </row>
    <row r="960">
      <c r="A960">
        <f>IFERROR(INDEX(tblStellplatz[Stellplatz],ROW()-1),"")</f>
        <v/>
      </c>
      <c r="B960">
        <f>IFERROR(INDEX(tblStellplatz[SAP],ROW()-1),"")</f>
        <v/>
      </c>
      <c r="C960">
        <f>IF(B960="","",IFERROR(INDEX(tblMaterial[Bezeichnung],MATCH(B960,tblMaterial[SAP],0)),"?"))</f>
        <v/>
      </c>
      <c r="D960">
        <f>IF(B960="","",IFERROR(INDEX(tblMaterial[Lagerstand],MATCH(B960,tblMaterial[SAP],0)),"?"))</f>
        <v/>
      </c>
      <c r="E960">
        <f>IF(B960="","",IFERROR(INDEX(tblMaterial[Meldebestand],MATCH(B960,tblMaterial[SAP],0)),"?"))</f>
        <v/>
      </c>
      <c r="F960">
        <f>IF(OR(B960="",NOT(ISNUMBER(D960))),"",IF(D960&lt;E960,"JA",""))</f>
        <v/>
      </c>
    </row>
    <row r="961">
      <c r="A961">
        <f>IFERROR(INDEX(tblStellplatz[Stellplatz],ROW()-1),"")</f>
        <v/>
      </c>
      <c r="B961">
        <f>IFERROR(INDEX(tblStellplatz[SAP],ROW()-1),"")</f>
        <v/>
      </c>
      <c r="C961">
        <f>IF(B961="","",IFERROR(INDEX(tblMaterial[Bezeichnung],MATCH(B961,tblMaterial[SAP],0)),"?"))</f>
        <v/>
      </c>
      <c r="D961">
        <f>IF(B961="","",IFERROR(INDEX(tblMaterial[Lagerstand],MATCH(B961,tblMaterial[SAP],0)),"?"))</f>
        <v/>
      </c>
      <c r="E961">
        <f>IF(B961="","",IFERROR(INDEX(tblMaterial[Meldebestand],MATCH(B961,tblMaterial[SAP],0)),"?"))</f>
        <v/>
      </c>
      <c r="F961">
        <f>IF(OR(B961="",NOT(ISNUMBER(D961))),"",IF(D961&lt;E961,"JA",""))</f>
        <v/>
      </c>
    </row>
    <row r="962">
      <c r="A962">
        <f>IFERROR(INDEX(tblStellplatz[Stellplatz],ROW()-1),"")</f>
        <v/>
      </c>
      <c r="B962">
        <f>IFERROR(INDEX(tblStellplatz[SAP],ROW()-1),"")</f>
        <v/>
      </c>
      <c r="C962">
        <f>IF(B962="","",IFERROR(INDEX(tblMaterial[Bezeichnung],MATCH(B962,tblMaterial[SAP],0)),"?"))</f>
        <v/>
      </c>
      <c r="D962">
        <f>IF(B962="","",IFERROR(INDEX(tblMaterial[Lagerstand],MATCH(B962,tblMaterial[SAP],0)),"?"))</f>
        <v/>
      </c>
      <c r="E962">
        <f>IF(B962="","",IFERROR(INDEX(tblMaterial[Meldebestand],MATCH(B962,tblMaterial[SAP],0)),"?"))</f>
        <v/>
      </c>
      <c r="F962">
        <f>IF(OR(B962="",NOT(ISNUMBER(D962))),"",IF(D962&lt;E962,"JA",""))</f>
        <v/>
      </c>
    </row>
    <row r="963">
      <c r="A963">
        <f>IFERROR(INDEX(tblStellplatz[Stellplatz],ROW()-1),"")</f>
        <v/>
      </c>
      <c r="B963">
        <f>IFERROR(INDEX(tblStellplatz[SAP],ROW()-1),"")</f>
        <v/>
      </c>
      <c r="C963">
        <f>IF(B963="","",IFERROR(INDEX(tblMaterial[Bezeichnung],MATCH(B963,tblMaterial[SAP],0)),"?"))</f>
        <v/>
      </c>
      <c r="D963">
        <f>IF(B963="","",IFERROR(INDEX(tblMaterial[Lagerstand],MATCH(B963,tblMaterial[SAP],0)),"?"))</f>
        <v/>
      </c>
      <c r="E963">
        <f>IF(B963="","",IFERROR(INDEX(tblMaterial[Meldebestand],MATCH(B963,tblMaterial[SAP],0)),"?"))</f>
        <v/>
      </c>
      <c r="F963">
        <f>IF(OR(B963="",NOT(ISNUMBER(D963))),"",IF(D963&lt;E963,"JA",""))</f>
        <v/>
      </c>
    </row>
    <row r="964">
      <c r="A964">
        <f>IFERROR(INDEX(tblStellplatz[Stellplatz],ROW()-1),"")</f>
        <v/>
      </c>
      <c r="B964">
        <f>IFERROR(INDEX(tblStellplatz[SAP],ROW()-1),"")</f>
        <v/>
      </c>
      <c r="C964">
        <f>IF(B964="","",IFERROR(INDEX(tblMaterial[Bezeichnung],MATCH(B964,tblMaterial[SAP],0)),"?"))</f>
        <v/>
      </c>
      <c r="D964">
        <f>IF(B964="","",IFERROR(INDEX(tblMaterial[Lagerstand],MATCH(B964,tblMaterial[SAP],0)),"?"))</f>
        <v/>
      </c>
      <c r="E964">
        <f>IF(B964="","",IFERROR(INDEX(tblMaterial[Meldebestand],MATCH(B964,tblMaterial[SAP],0)),"?"))</f>
        <v/>
      </c>
      <c r="F964">
        <f>IF(OR(B964="",NOT(ISNUMBER(D964))),"",IF(D964&lt;E964,"JA",""))</f>
        <v/>
      </c>
    </row>
    <row r="965">
      <c r="A965">
        <f>IFERROR(INDEX(tblStellplatz[Stellplatz],ROW()-1),"")</f>
        <v/>
      </c>
      <c r="B965">
        <f>IFERROR(INDEX(tblStellplatz[SAP],ROW()-1),"")</f>
        <v/>
      </c>
      <c r="C965">
        <f>IF(B965="","",IFERROR(INDEX(tblMaterial[Bezeichnung],MATCH(B965,tblMaterial[SAP],0)),"?"))</f>
        <v/>
      </c>
      <c r="D965">
        <f>IF(B965="","",IFERROR(INDEX(tblMaterial[Lagerstand],MATCH(B965,tblMaterial[SAP],0)),"?"))</f>
        <v/>
      </c>
      <c r="E965">
        <f>IF(B965="","",IFERROR(INDEX(tblMaterial[Meldebestand],MATCH(B965,tblMaterial[SAP],0)),"?"))</f>
        <v/>
      </c>
      <c r="F965">
        <f>IF(OR(B965="",NOT(ISNUMBER(D965))),"",IF(D965&lt;E965,"JA",""))</f>
        <v/>
      </c>
    </row>
    <row r="966">
      <c r="A966">
        <f>IFERROR(INDEX(tblStellplatz[Stellplatz],ROW()-1),"")</f>
        <v/>
      </c>
      <c r="B966">
        <f>IFERROR(INDEX(tblStellplatz[SAP],ROW()-1),"")</f>
        <v/>
      </c>
      <c r="C966">
        <f>IF(B966="","",IFERROR(INDEX(tblMaterial[Bezeichnung],MATCH(B966,tblMaterial[SAP],0)),"?"))</f>
        <v/>
      </c>
      <c r="D966">
        <f>IF(B966="","",IFERROR(INDEX(tblMaterial[Lagerstand],MATCH(B966,tblMaterial[SAP],0)),"?"))</f>
        <v/>
      </c>
      <c r="E966">
        <f>IF(B966="","",IFERROR(INDEX(tblMaterial[Meldebestand],MATCH(B966,tblMaterial[SAP],0)),"?"))</f>
        <v/>
      </c>
      <c r="F966">
        <f>IF(OR(B966="",NOT(ISNUMBER(D966))),"",IF(D966&lt;E966,"JA",""))</f>
        <v/>
      </c>
    </row>
    <row r="967">
      <c r="A967">
        <f>IFERROR(INDEX(tblStellplatz[Stellplatz],ROW()-1),"")</f>
        <v/>
      </c>
      <c r="B967">
        <f>IFERROR(INDEX(tblStellplatz[SAP],ROW()-1),"")</f>
        <v/>
      </c>
      <c r="C967">
        <f>IF(B967="","",IFERROR(INDEX(tblMaterial[Bezeichnung],MATCH(B967,tblMaterial[SAP],0)),"?"))</f>
        <v/>
      </c>
      <c r="D967">
        <f>IF(B967="","",IFERROR(INDEX(tblMaterial[Lagerstand],MATCH(B967,tblMaterial[SAP],0)),"?"))</f>
        <v/>
      </c>
      <c r="E967">
        <f>IF(B967="","",IFERROR(INDEX(tblMaterial[Meldebestand],MATCH(B967,tblMaterial[SAP],0)),"?"))</f>
        <v/>
      </c>
      <c r="F967">
        <f>IF(OR(B967="",NOT(ISNUMBER(D967))),"",IF(D967&lt;E967,"JA",""))</f>
        <v/>
      </c>
    </row>
    <row r="968">
      <c r="A968">
        <f>IFERROR(INDEX(tblStellplatz[Stellplatz],ROW()-1),"")</f>
        <v/>
      </c>
      <c r="B968">
        <f>IFERROR(INDEX(tblStellplatz[SAP],ROW()-1),"")</f>
        <v/>
      </c>
      <c r="C968">
        <f>IF(B968="","",IFERROR(INDEX(tblMaterial[Bezeichnung],MATCH(B968,tblMaterial[SAP],0)),"?"))</f>
        <v/>
      </c>
      <c r="D968">
        <f>IF(B968="","",IFERROR(INDEX(tblMaterial[Lagerstand],MATCH(B968,tblMaterial[SAP],0)),"?"))</f>
        <v/>
      </c>
      <c r="E968">
        <f>IF(B968="","",IFERROR(INDEX(tblMaterial[Meldebestand],MATCH(B968,tblMaterial[SAP],0)),"?"))</f>
        <v/>
      </c>
      <c r="F968">
        <f>IF(OR(B968="",NOT(ISNUMBER(D968))),"",IF(D968&lt;E968,"JA",""))</f>
        <v/>
      </c>
    </row>
    <row r="969">
      <c r="A969">
        <f>IFERROR(INDEX(tblStellplatz[Stellplatz],ROW()-1),"")</f>
        <v/>
      </c>
      <c r="B969">
        <f>IFERROR(INDEX(tblStellplatz[SAP],ROW()-1),"")</f>
        <v/>
      </c>
      <c r="C969">
        <f>IF(B969="","",IFERROR(INDEX(tblMaterial[Bezeichnung],MATCH(B969,tblMaterial[SAP],0)),"?"))</f>
        <v/>
      </c>
      <c r="D969">
        <f>IF(B969="","",IFERROR(INDEX(tblMaterial[Lagerstand],MATCH(B969,tblMaterial[SAP],0)),"?"))</f>
        <v/>
      </c>
      <c r="E969">
        <f>IF(B969="","",IFERROR(INDEX(tblMaterial[Meldebestand],MATCH(B969,tblMaterial[SAP],0)),"?"))</f>
        <v/>
      </c>
      <c r="F969">
        <f>IF(OR(B969="",NOT(ISNUMBER(D969))),"",IF(D969&lt;E969,"JA",""))</f>
        <v/>
      </c>
    </row>
    <row r="970">
      <c r="A970">
        <f>IFERROR(INDEX(tblStellplatz[Stellplatz],ROW()-1),"")</f>
        <v/>
      </c>
      <c r="B970">
        <f>IFERROR(INDEX(tblStellplatz[SAP],ROW()-1),"")</f>
        <v/>
      </c>
      <c r="C970">
        <f>IF(B970="","",IFERROR(INDEX(tblMaterial[Bezeichnung],MATCH(B970,tblMaterial[SAP],0)),"?"))</f>
        <v/>
      </c>
      <c r="D970">
        <f>IF(B970="","",IFERROR(INDEX(tblMaterial[Lagerstand],MATCH(B970,tblMaterial[SAP],0)),"?"))</f>
        <v/>
      </c>
      <c r="E970">
        <f>IF(B970="","",IFERROR(INDEX(tblMaterial[Meldebestand],MATCH(B970,tblMaterial[SAP],0)),"?"))</f>
        <v/>
      </c>
      <c r="F970">
        <f>IF(OR(B970="",NOT(ISNUMBER(D970))),"",IF(D970&lt;E970,"JA",""))</f>
        <v/>
      </c>
    </row>
    <row r="971">
      <c r="A971">
        <f>IFERROR(INDEX(tblStellplatz[Stellplatz],ROW()-1),"")</f>
        <v/>
      </c>
      <c r="B971">
        <f>IFERROR(INDEX(tblStellplatz[SAP],ROW()-1),"")</f>
        <v/>
      </c>
      <c r="C971">
        <f>IF(B971="","",IFERROR(INDEX(tblMaterial[Bezeichnung],MATCH(B971,tblMaterial[SAP],0)),"?"))</f>
        <v/>
      </c>
      <c r="D971">
        <f>IF(B971="","",IFERROR(INDEX(tblMaterial[Lagerstand],MATCH(B971,tblMaterial[SAP],0)),"?"))</f>
        <v/>
      </c>
      <c r="E971">
        <f>IF(B971="","",IFERROR(INDEX(tblMaterial[Meldebestand],MATCH(B971,tblMaterial[SAP],0)),"?"))</f>
        <v/>
      </c>
      <c r="F971">
        <f>IF(OR(B971="",NOT(ISNUMBER(D971))),"",IF(D971&lt;E971,"JA",""))</f>
        <v/>
      </c>
    </row>
    <row r="972">
      <c r="A972">
        <f>IFERROR(INDEX(tblStellplatz[Stellplatz],ROW()-1),"")</f>
        <v/>
      </c>
      <c r="B972">
        <f>IFERROR(INDEX(tblStellplatz[SAP],ROW()-1),"")</f>
        <v/>
      </c>
      <c r="C972">
        <f>IF(B972="","",IFERROR(INDEX(tblMaterial[Bezeichnung],MATCH(B972,tblMaterial[SAP],0)),"?"))</f>
        <v/>
      </c>
      <c r="D972">
        <f>IF(B972="","",IFERROR(INDEX(tblMaterial[Lagerstand],MATCH(B972,tblMaterial[SAP],0)),"?"))</f>
        <v/>
      </c>
      <c r="E972">
        <f>IF(B972="","",IFERROR(INDEX(tblMaterial[Meldebestand],MATCH(B972,tblMaterial[SAP],0)),"?"))</f>
        <v/>
      </c>
      <c r="F972">
        <f>IF(OR(B972="",NOT(ISNUMBER(D972))),"",IF(D972&lt;E972,"JA",""))</f>
        <v/>
      </c>
    </row>
    <row r="973">
      <c r="A973">
        <f>IFERROR(INDEX(tblStellplatz[Stellplatz],ROW()-1),"")</f>
        <v/>
      </c>
      <c r="B973">
        <f>IFERROR(INDEX(tblStellplatz[SAP],ROW()-1),"")</f>
        <v/>
      </c>
      <c r="C973">
        <f>IF(B973="","",IFERROR(INDEX(tblMaterial[Bezeichnung],MATCH(B973,tblMaterial[SAP],0)),"?"))</f>
        <v/>
      </c>
      <c r="D973">
        <f>IF(B973="","",IFERROR(INDEX(tblMaterial[Lagerstand],MATCH(B973,tblMaterial[SAP],0)),"?"))</f>
        <v/>
      </c>
      <c r="E973">
        <f>IF(B973="","",IFERROR(INDEX(tblMaterial[Meldebestand],MATCH(B973,tblMaterial[SAP],0)),"?"))</f>
        <v/>
      </c>
      <c r="F973">
        <f>IF(OR(B973="",NOT(ISNUMBER(D973))),"",IF(D973&lt;E973,"JA",""))</f>
        <v/>
      </c>
    </row>
    <row r="974">
      <c r="A974">
        <f>IFERROR(INDEX(tblStellplatz[Stellplatz],ROW()-1),"")</f>
        <v/>
      </c>
      <c r="B974">
        <f>IFERROR(INDEX(tblStellplatz[SAP],ROW()-1),"")</f>
        <v/>
      </c>
      <c r="C974">
        <f>IF(B974="","",IFERROR(INDEX(tblMaterial[Bezeichnung],MATCH(B974,tblMaterial[SAP],0)),"?"))</f>
        <v/>
      </c>
      <c r="D974">
        <f>IF(B974="","",IFERROR(INDEX(tblMaterial[Lagerstand],MATCH(B974,tblMaterial[SAP],0)),"?"))</f>
        <v/>
      </c>
      <c r="E974">
        <f>IF(B974="","",IFERROR(INDEX(tblMaterial[Meldebestand],MATCH(B974,tblMaterial[SAP],0)),"?"))</f>
        <v/>
      </c>
      <c r="F974">
        <f>IF(OR(B974="",NOT(ISNUMBER(D974))),"",IF(D974&lt;E974,"JA",""))</f>
        <v/>
      </c>
    </row>
    <row r="975">
      <c r="A975">
        <f>IFERROR(INDEX(tblStellplatz[Stellplatz],ROW()-1),"")</f>
        <v/>
      </c>
      <c r="B975">
        <f>IFERROR(INDEX(tblStellplatz[SAP],ROW()-1),"")</f>
        <v/>
      </c>
      <c r="C975">
        <f>IF(B975="","",IFERROR(INDEX(tblMaterial[Bezeichnung],MATCH(B975,tblMaterial[SAP],0)),"?"))</f>
        <v/>
      </c>
      <c r="D975">
        <f>IF(B975="","",IFERROR(INDEX(tblMaterial[Lagerstand],MATCH(B975,tblMaterial[SAP],0)),"?"))</f>
        <v/>
      </c>
      <c r="E975">
        <f>IF(B975="","",IFERROR(INDEX(tblMaterial[Meldebestand],MATCH(B975,tblMaterial[SAP],0)),"?"))</f>
        <v/>
      </c>
      <c r="F975">
        <f>IF(OR(B975="",NOT(ISNUMBER(D975))),"",IF(D975&lt;E975,"JA",""))</f>
        <v/>
      </c>
    </row>
    <row r="976">
      <c r="A976">
        <f>IFERROR(INDEX(tblStellplatz[Stellplatz],ROW()-1),"")</f>
        <v/>
      </c>
      <c r="B976">
        <f>IFERROR(INDEX(tblStellplatz[SAP],ROW()-1),"")</f>
        <v/>
      </c>
      <c r="C976">
        <f>IF(B976="","",IFERROR(INDEX(tblMaterial[Bezeichnung],MATCH(B976,tblMaterial[SAP],0)),"?"))</f>
        <v/>
      </c>
      <c r="D976">
        <f>IF(B976="","",IFERROR(INDEX(tblMaterial[Lagerstand],MATCH(B976,tblMaterial[SAP],0)),"?"))</f>
        <v/>
      </c>
      <c r="E976">
        <f>IF(B976="","",IFERROR(INDEX(tblMaterial[Meldebestand],MATCH(B976,tblMaterial[SAP],0)),"?"))</f>
        <v/>
      </c>
      <c r="F976">
        <f>IF(OR(B976="",NOT(ISNUMBER(D976))),"",IF(D976&lt;E976,"JA",""))</f>
        <v/>
      </c>
    </row>
    <row r="977">
      <c r="A977">
        <f>IFERROR(INDEX(tblStellplatz[Stellplatz],ROW()-1),"")</f>
        <v/>
      </c>
      <c r="B977">
        <f>IFERROR(INDEX(tblStellplatz[SAP],ROW()-1),"")</f>
        <v/>
      </c>
      <c r="C977">
        <f>IF(B977="","",IFERROR(INDEX(tblMaterial[Bezeichnung],MATCH(B977,tblMaterial[SAP],0)),"?"))</f>
        <v/>
      </c>
      <c r="D977">
        <f>IF(B977="","",IFERROR(INDEX(tblMaterial[Lagerstand],MATCH(B977,tblMaterial[SAP],0)),"?"))</f>
        <v/>
      </c>
      <c r="E977">
        <f>IF(B977="","",IFERROR(INDEX(tblMaterial[Meldebestand],MATCH(B977,tblMaterial[SAP],0)),"?"))</f>
        <v/>
      </c>
      <c r="F977">
        <f>IF(OR(B977="",NOT(ISNUMBER(D977))),"",IF(D977&lt;E977,"JA",""))</f>
        <v/>
      </c>
    </row>
    <row r="978">
      <c r="A978">
        <f>IFERROR(INDEX(tblStellplatz[Stellplatz],ROW()-1),"")</f>
        <v/>
      </c>
      <c r="B978">
        <f>IFERROR(INDEX(tblStellplatz[SAP],ROW()-1),"")</f>
        <v/>
      </c>
      <c r="C978">
        <f>IF(B978="","",IFERROR(INDEX(tblMaterial[Bezeichnung],MATCH(B978,tblMaterial[SAP],0)),"?"))</f>
        <v/>
      </c>
      <c r="D978">
        <f>IF(B978="","",IFERROR(INDEX(tblMaterial[Lagerstand],MATCH(B978,tblMaterial[SAP],0)),"?"))</f>
        <v/>
      </c>
      <c r="E978">
        <f>IF(B978="","",IFERROR(INDEX(tblMaterial[Meldebestand],MATCH(B978,tblMaterial[SAP],0)),"?"))</f>
        <v/>
      </c>
      <c r="F978">
        <f>IF(OR(B978="",NOT(ISNUMBER(D978))),"",IF(D978&lt;E978,"JA",""))</f>
        <v/>
      </c>
    </row>
    <row r="979">
      <c r="A979">
        <f>IFERROR(INDEX(tblStellplatz[Stellplatz],ROW()-1),"")</f>
        <v/>
      </c>
      <c r="B979">
        <f>IFERROR(INDEX(tblStellplatz[SAP],ROW()-1),"")</f>
        <v/>
      </c>
      <c r="C979">
        <f>IF(B979="","",IFERROR(INDEX(tblMaterial[Bezeichnung],MATCH(B979,tblMaterial[SAP],0)),"?"))</f>
        <v/>
      </c>
      <c r="D979">
        <f>IF(B979="","",IFERROR(INDEX(tblMaterial[Lagerstand],MATCH(B979,tblMaterial[SAP],0)),"?"))</f>
        <v/>
      </c>
      <c r="E979">
        <f>IF(B979="","",IFERROR(INDEX(tblMaterial[Meldebestand],MATCH(B979,tblMaterial[SAP],0)),"?"))</f>
        <v/>
      </c>
      <c r="F979">
        <f>IF(OR(B979="",NOT(ISNUMBER(D979))),"",IF(D979&lt;E979,"JA",""))</f>
        <v/>
      </c>
    </row>
    <row r="980">
      <c r="A980">
        <f>IFERROR(INDEX(tblStellplatz[Stellplatz],ROW()-1),"")</f>
        <v/>
      </c>
      <c r="B980">
        <f>IFERROR(INDEX(tblStellplatz[SAP],ROW()-1),"")</f>
        <v/>
      </c>
      <c r="C980">
        <f>IF(B980="","",IFERROR(INDEX(tblMaterial[Bezeichnung],MATCH(B980,tblMaterial[SAP],0)),"?"))</f>
        <v/>
      </c>
      <c r="D980">
        <f>IF(B980="","",IFERROR(INDEX(tblMaterial[Lagerstand],MATCH(B980,tblMaterial[SAP],0)),"?"))</f>
        <v/>
      </c>
      <c r="E980">
        <f>IF(B980="","",IFERROR(INDEX(tblMaterial[Meldebestand],MATCH(B980,tblMaterial[SAP],0)),"?"))</f>
        <v/>
      </c>
      <c r="F980">
        <f>IF(OR(B980="",NOT(ISNUMBER(D980))),"",IF(D980&lt;E980,"JA",""))</f>
        <v/>
      </c>
    </row>
    <row r="981">
      <c r="A981">
        <f>IFERROR(INDEX(tblStellplatz[Stellplatz],ROW()-1),"")</f>
        <v/>
      </c>
      <c r="B981">
        <f>IFERROR(INDEX(tblStellplatz[SAP],ROW()-1),"")</f>
        <v/>
      </c>
      <c r="C981">
        <f>IF(B981="","",IFERROR(INDEX(tblMaterial[Bezeichnung],MATCH(B981,tblMaterial[SAP],0)),"?"))</f>
        <v/>
      </c>
      <c r="D981">
        <f>IF(B981="","",IFERROR(INDEX(tblMaterial[Lagerstand],MATCH(B981,tblMaterial[SAP],0)),"?"))</f>
        <v/>
      </c>
      <c r="E981">
        <f>IF(B981="","",IFERROR(INDEX(tblMaterial[Meldebestand],MATCH(B981,tblMaterial[SAP],0)),"?"))</f>
        <v/>
      </c>
      <c r="F981">
        <f>IF(OR(B981="",NOT(ISNUMBER(D981))),"",IF(D981&lt;E981,"JA",""))</f>
        <v/>
      </c>
    </row>
    <row r="982">
      <c r="A982">
        <f>IFERROR(INDEX(tblStellplatz[Stellplatz],ROW()-1),"")</f>
        <v/>
      </c>
      <c r="B982">
        <f>IFERROR(INDEX(tblStellplatz[SAP],ROW()-1),"")</f>
        <v/>
      </c>
      <c r="C982">
        <f>IF(B982="","",IFERROR(INDEX(tblMaterial[Bezeichnung],MATCH(B982,tblMaterial[SAP],0)),"?"))</f>
        <v/>
      </c>
      <c r="D982">
        <f>IF(B982="","",IFERROR(INDEX(tblMaterial[Lagerstand],MATCH(B982,tblMaterial[SAP],0)),"?"))</f>
        <v/>
      </c>
      <c r="E982">
        <f>IF(B982="","",IFERROR(INDEX(tblMaterial[Meldebestand],MATCH(B982,tblMaterial[SAP],0)),"?"))</f>
        <v/>
      </c>
      <c r="F982">
        <f>IF(OR(B982="",NOT(ISNUMBER(D982))),"",IF(D982&lt;E982,"JA",""))</f>
        <v/>
      </c>
    </row>
    <row r="983">
      <c r="A983">
        <f>IFERROR(INDEX(tblStellplatz[Stellplatz],ROW()-1),"")</f>
        <v/>
      </c>
      <c r="B983">
        <f>IFERROR(INDEX(tblStellplatz[SAP],ROW()-1),"")</f>
        <v/>
      </c>
      <c r="C983">
        <f>IF(B983="","",IFERROR(INDEX(tblMaterial[Bezeichnung],MATCH(B983,tblMaterial[SAP],0)),"?"))</f>
        <v/>
      </c>
      <c r="D983">
        <f>IF(B983="","",IFERROR(INDEX(tblMaterial[Lagerstand],MATCH(B983,tblMaterial[SAP],0)),"?"))</f>
        <v/>
      </c>
      <c r="E983">
        <f>IF(B983="","",IFERROR(INDEX(tblMaterial[Meldebestand],MATCH(B983,tblMaterial[SAP],0)),"?"))</f>
        <v/>
      </c>
      <c r="F983">
        <f>IF(OR(B983="",NOT(ISNUMBER(D983))),"",IF(D983&lt;E983,"JA",""))</f>
        <v/>
      </c>
    </row>
    <row r="984">
      <c r="A984">
        <f>IFERROR(INDEX(tblStellplatz[Stellplatz],ROW()-1),"")</f>
        <v/>
      </c>
      <c r="B984">
        <f>IFERROR(INDEX(tblStellplatz[SAP],ROW()-1),"")</f>
        <v/>
      </c>
      <c r="C984">
        <f>IF(B984="","",IFERROR(INDEX(tblMaterial[Bezeichnung],MATCH(B984,tblMaterial[SAP],0)),"?"))</f>
        <v/>
      </c>
      <c r="D984">
        <f>IF(B984="","",IFERROR(INDEX(tblMaterial[Lagerstand],MATCH(B984,tblMaterial[SAP],0)),"?"))</f>
        <v/>
      </c>
      <c r="E984">
        <f>IF(B984="","",IFERROR(INDEX(tblMaterial[Meldebestand],MATCH(B984,tblMaterial[SAP],0)),"?"))</f>
        <v/>
      </c>
      <c r="F984">
        <f>IF(OR(B984="",NOT(ISNUMBER(D984))),"",IF(D984&lt;E984,"JA",""))</f>
        <v/>
      </c>
    </row>
    <row r="985">
      <c r="A985">
        <f>IFERROR(INDEX(tblStellplatz[Stellplatz],ROW()-1),"")</f>
        <v/>
      </c>
      <c r="B985">
        <f>IFERROR(INDEX(tblStellplatz[SAP],ROW()-1),"")</f>
        <v/>
      </c>
      <c r="C985">
        <f>IF(B985="","",IFERROR(INDEX(tblMaterial[Bezeichnung],MATCH(B985,tblMaterial[SAP],0)),"?"))</f>
        <v/>
      </c>
      <c r="D985">
        <f>IF(B985="","",IFERROR(INDEX(tblMaterial[Lagerstand],MATCH(B985,tblMaterial[SAP],0)),"?"))</f>
        <v/>
      </c>
      <c r="E985">
        <f>IF(B985="","",IFERROR(INDEX(tblMaterial[Meldebestand],MATCH(B985,tblMaterial[SAP],0)),"?"))</f>
        <v/>
      </c>
      <c r="F985">
        <f>IF(OR(B985="",NOT(ISNUMBER(D985))),"",IF(D985&lt;E985,"JA",""))</f>
        <v/>
      </c>
    </row>
    <row r="986">
      <c r="A986">
        <f>IFERROR(INDEX(tblStellplatz[Stellplatz],ROW()-1),"")</f>
        <v/>
      </c>
      <c r="B986">
        <f>IFERROR(INDEX(tblStellplatz[SAP],ROW()-1),"")</f>
        <v/>
      </c>
      <c r="C986">
        <f>IF(B986="","",IFERROR(INDEX(tblMaterial[Bezeichnung],MATCH(B986,tblMaterial[SAP],0)),"?"))</f>
        <v/>
      </c>
      <c r="D986">
        <f>IF(B986="","",IFERROR(INDEX(tblMaterial[Lagerstand],MATCH(B986,tblMaterial[SAP],0)),"?"))</f>
        <v/>
      </c>
      <c r="E986">
        <f>IF(B986="","",IFERROR(INDEX(tblMaterial[Meldebestand],MATCH(B986,tblMaterial[SAP],0)),"?"))</f>
        <v/>
      </c>
      <c r="F986">
        <f>IF(OR(B986="",NOT(ISNUMBER(D986))),"",IF(D986&lt;E986,"JA",""))</f>
        <v/>
      </c>
    </row>
    <row r="987">
      <c r="A987">
        <f>IFERROR(INDEX(tblStellplatz[Stellplatz],ROW()-1),"")</f>
        <v/>
      </c>
      <c r="B987">
        <f>IFERROR(INDEX(tblStellplatz[SAP],ROW()-1),"")</f>
        <v/>
      </c>
      <c r="C987">
        <f>IF(B987="","",IFERROR(INDEX(tblMaterial[Bezeichnung],MATCH(B987,tblMaterial[SAP],0)),"?"))</f>
        <v/>
      </c>
      <c r="D987">
        <f>IF(B987="","",IFERROR(INDEX(tblMaterial[Lagerstand],MATCH(B987,tblMaterial[SAP],0)),"?"))</f>
        <v/>
      </c>
      <c r="E987">
        <f>IF(B987="","",IFERROR(INDEX(tblMaterial[Meldebestand],MATCH(B987,tblMaterial[SAP],0)),"?"))</f>
        <v/>
      </c>
      <c r="F987">
        <f>IF(OR(B987="",NOT(ISNUMBER(D987))),"",IF(D987&lt;E987,"JA",""))</f>
        <v/>
      </c>
    </row>
    <row r="988">
      <c r="A988">
        <f>IFERROR(INDEX(tblStellplatz[Stellplatz],ROW()-1),"")</f>
        <v/>
      </c>
      <c r="B988">
        <f>IFERROR(INDEX(tblStellplatz[SAP],ROW()-1),"")</f>
        <v/>
      </c>
      <c r="C988">
        <f>IF(B988="","",IFERROR(INDEX(tblMaterial[Bezeichnung],MATCH(B988,tblMaterial[SAP],0)),"?"))</f>
        <v/>
      </c>
      <c r="D988">
        <f>IF(B988="","",IFERROR(INDEX(tblMaterial[Lagerstand],MATCH(B988,tblMaterial[SAP],0)),"?"))</f>
        <v/>
      </c>
      <c r="E988">
        <f>IF(B988="","",IFERROR(INDEX(tblMaterial[Meldebestand],MATCH(B988,tblMaterial[SAP],0)),"?"))</f>
        <v/>
      </c>
      <c r="F988">
        <f>IF(OR(B988="",NOT(ISNUMBER(D988))),"",IF(D988&lt;E988,"JA",""))</f>
        <v/>
      </c>
    </row>
    <row r="989">
      <c r="A989">
        <f>IFERROR(INDEX(tblStellplatz[Stellplatz],ROW()-1),"")</f>
        <v/>
      </c>
      <c r="B989">
        <f>IFERROR(INDEX(tblStellplatz[SAP],ROW()-1),"")</f>
        <v/>
      </c>
      <c r="C989">
        <f>IF(B989="","",IFERROR(INDEX(tblMaterial[Bezeichnung],MATCH(B989,tblMaterial[SAP],0)),"?"))</f>
        <v/>
      </c>
      <c r="D989">
        <f>IF(B989="","",IFERROR(INDEX(tblMaterial[Lagerstand],MATCH(B989,tblMaterial[SAP],0)),"?"))</f>
        <v/>
      </c>
      <c r="E989">
        <f>IF(B989="","",IFERROR(INDEX(tblMaterial[Meldebestand],MATCH(B989,tblMaterial[SAP],0)),"?"))</f>
        <v/>
      </c>
      <c r="F989">
        <f>IF(OR(B989="",NOT(ISNUMBER(D989))),"",IF(D989&lt;E989,"JA",""))</f>
        <v/>
      </c>
    </row>
    <row r="990">
      <c r="A990">
        <f>IFERROR(INDEX(tblStellplatz[Stellplatz],ROW()-1),"")</f>
        <v/>
      </c>
      <c r="B990">
        <f>IFERROR(INDEX(tblStellplatz[SAP],ROW()-1),"")</f>
        <v/>
      </c>
      <c r="C990">
        <f>IF(B990="","",IFERROR(INDEX(tblMaterial[Bezeichnung],MATCH(B990,tblMaterial[SAP],0)),"?"))</f>
        <v/>
      </c>
      <c r="D990">
        <f>IF(B990="","",IFERROR(INDEX(tblMaterial[Lagerstand],MATCH(B990,tblMaterial[SAP],0)),"?"))</f>
        <v/>
      </c>
      <c r="E990">
        <f>IF(B990="","",IFERROR(INDEX(tblMaterial[Meldebestand],MATCH(B990,tblMaterial[SAP],0)),"?"))</f>
        <v/>
      </c>
      <c r="F990">
        <f>IF(OR(B990="",NOT(ISNUMBER(D990))),"",IF(D990&lt;E990,"JA",""))</f>
        <v/>
      </c>
    </row>
    <row r="991">
      <c r="A991">
        <f>IFERROR(INDEX(tblStellplatz[Stellplatz],ROW()-1),"")</f>
        <v/>
      </c>
      <c r="B991">
        <f>IFERROR(INDEX(tblStellplatz[SAP],ROW()-1),"")</f>
        <v/>
      </c>
      <c r="C991">
        <f>IF(B991="","",IFERROR(INDEX(tblMaterial[Bezeichnung],MATCH(B991,tblMaterial[SAP],0)),"?"))</f>
        <v/>
      </c>
      <c r="D991">
        <f>IF(B991="","",IFERROR(INDEX(tblMaterial[Lagerstand],MATCH(B991,tblMaterial[SAP],0)),"?"))</f>
        <v/>
      </c>
      <c r="E991">
        <f>IF(B991="","",IFERROR(INDEX(tblMaterial[Meldebestand],MATCH(B991,tblMaterial[SAP],0)),"?"))</f>
        <v/>
      </c>
      <c r="F991">
        <f>IF(OR(B991="",NOT(ISNUMBER(D991))),"",IF(D991&lt;E991,"JA",""))</f>
        <v/>
      </c>
    </row>
    <row r="992">
      <c r="A992">
        <f>IFERROR(INDEX(tblStellplatz[Stellplatz],ROW()-1),"")</f>
        <v/>
      </c>
      <c r="B992">
        <f>IFERROR(INDEX(tblStellplatz[SAP],ROW()-1),"")</f>
        <v/>
      </c>
      <c r="C992">
        <f>IF(B992="","",IFERROR(INDEX(tblMaterial[Bezeichnung],MATCH(B992,tblMaterial[SAP],0)),"?"))</f>
        <v/>
      </c>
      <c r="D992">
        <f>IF(B992="","",IFERROR(INDEX(tblMaterial[Lagerstand],MATCH(B992,tblMaterial[SAP],0)),"?"))</f>
        <v/>
      </c>
      <c r="E992">
        <f>IF(B992="","",IFERROR(INDEX(tblMaterial[Meldebestand],MATCH(B992,tblMaterial[SAP],0)),"?"))</f>
        <v/>
      </c>
      <c r="F992">
        <f>IF(OR(B992="",NOT(ISNUMBER(D992))),"",IF(D992&lt;E992,"JA",""))</f>
        <v/>
      </c>
    </row>
    <row r="993">
      <c r="A993">
        <f>IFERROR(INDEX(tblStellplatz[Stellplatz],ROW()-1),"")</f>
        <v/>
      </c>
      <c r="B993">
        <f>IFERROR(INDEX(tblStellplatz[SAP],ROW()-1),"")</f>
        <v/>
      </c>
      <c r="C993">
        <f>IF(B993="","",IFERROR(INDEX(tblMaterial[Bezeichnung],MATCH(B993,tblMaterial[SAP],0)),"?"))</f>
        <v/>
      </c>
      <c r="D993">
        <f>IF(B993="","",IFERROR(INDEX(tblMaterial[Lagerstand],MATCH(B993,tblMaterial[SAP],0)),"?"))</f>
        <v/>
      </c>
      <c r="E993">
        <f>IF(B993="","",IFERROR(INDEX(tblMaterial[Meldebestand],MATCH(B993,tblMaterial[SAP],0)),"?"))</f>
        <v/>
      </c>
      <c r="F993">
        <f>IF(OR(B993="",NOT(ISNUMBER(D993))),"",IF(D993&lt;E993,"JA",""))</f>
        <v/>
      </c>
    </row>
    <row r="994">
      <c r="A994">
        <f>IFERROR(INDEX(tblStellplatz[Stellplatz],ROW()-1),"")</f>
        <v/>
      </c>
      <c r="B994">
        <f>IFERROR(INDEX(tblStellplatz[SAP],ROW()-1),"")</f>
        <v/>
      </c>
      <c r="C994">
        <f>IF(B994="","",IFERROR(INDEX(tblMaterial[Bezeichnung],MATCH(B994,tblMaterial[SAP],0)),"?"))</f>
        <v/>
      </c>
      <c r="D994">
        <f>IF(B994="","",IFERROR(INDEX(tblMaterial[Lagerstand],MATCH(B994,tblMaterial[SAP],0)),"?"))</f>
        <v/>
      </c>
      <c r="E994">
        <f>IF(B994="","",IFERROR(INDEX(tblMaterial[Meldebestand],MATCH(B994,tblMaterial[SAP],0)),"?"))</f>
        <v/>
      </c>
      <c r="F994">
        <f>IF(OR(B994="",NOT(ISNUMBER(D994))),"",IF(D994&lt;E994,"JA",""))</f>
        <v/>
      </c>
    </row>
    <row r="995">
      <c r="A995">
        <f>IFERROR(INDEX(tblStellplatz[Stellplatz],ROW()-1),"")</f>
        <v/>
      </c>
      <c r="B995">
        <f>IFERROR(INDEX(tblStellplatz[SAP],ROW()-1),"")</f>
        <v/>
      </c>
      <c r="C995">
        <f>IF(B995="","",IFERROR(INDEX(tblMaterial[Bezeichnung],MATCH(B995,tblMaterial[SAP],0)),"?"))</f>
        <v/>
      </c>
      <c r="D995">
        <f>IF(B995="","",IFERROR(INDEX(tblMaterial[Lagerstand],MATCH(B995,tblMaterial[SAP],0)),"?"))</f>
        <v/>
      </c>
      <c r="E995">
        <f>IF(B995="","",IFERROR(INDEX(tblMaterial[Meldebestand],MATCH(B995,tblMaterial[SAP],0)),"?"))</f>
        <v/>
      </c>
      <c r="F995">
        <f>IF(OR(B995="",NOT(ISNUMBER(D995))),"",IF(D995&lt;E995,"JA",""))</f>
        <v/>
      </c>
    </row>
    <row r="996">
      <c r="A996">
        <f>IFERROR(INDEX(tblStellplatz[Stellplatz],ROW()-1),"")</f>
        <v/>
      </c>
      <c r="B996">
        <f>IFERROR(INDEX(tblStellplatz[SAP],ROW()-1),"")</f>
        <v/>
      </c>
      <c r="C996">
        <f>IF(B996="","",IFERROR(INDEX(tblMaterial[Bezeichnung],MATCH(B996,tblMaterial[SAP],0)),"?"))</f>
        <v/>
      </c>
      <c r="D996">
        <f>IF(B996="","",IFERROR(INDEX(tblMaterial[Lagerstand],MATCH(B996,tblMaterial[SAP],0)),"?"))</f>
        <v/>
      </c>
      <c r="E996">
        <f>IF(B996="","",IFERROR(INDEX(tblMaterial[Meldebestand],MATCH(B996,tblMaterial[SAP],0)),"?"))</f>
        <v/>
      </c>
      <c r="F996">
        <f>IF(OR(B996="",NOT(ISNUMBER(D996))),"",IF(D996&lt;E996,"JA",""))</f>
        <v/>
      </c>
    </row>
    <row r="997">
      <c r="A997">
        <f>IFERROR(INDEX(tblStellplatz[Stellplatz],ROW()-1),"")</f>
        <v/>
      </c>
      <c r="B997">
        <f>IFERROR(INDEX(tblStellplatz[SAP],ROW()-1),"")</f>
        <v/>
      </c>
      <c r="C997">
        <f>IF(B997="","",IFERROR(INDEX(tblMaterial[Bezeichnung],MATCH(B997,tblMaterial[SAP],0)),"?"))</f>
        <v/>
      </c>
      <c r="D997">
        <f>IF(B997="","",IFERROR(INDEX(tblMaterial[Lagerstand],MATCH(B997,tblMaterial[SAP],0)),"?"))</f>
        <v/>
      </c>
      <c r="E997">
        <f>IF(B997="","",IFERROR(INDEX(tblMaterial[Meldebestand],MATCH(B997,tblMaterial[SAP],0)),"?"))</f>
        <v/>
      </c>
      <c r="F997">
        <f>IF(OR(B997="",NOT(ISNUMBER(D997))),"",IF(D997&lt;E997,"JA",""))</f>
        <v/>
      </c>
    </row>
    <row r="998">
      <c r="A998">
        <f>IFERROR(INDEX(tblStellplatz[Stellplatz],ROW()-1),"")</f>
        <v/>
      </c>
      <c r="B998">
        <f>IFERROR(INDEX(tblStellplatz[SAP],ROW()-1),"")</f>
        <v/>
      </c>
      <c r="C998">
        <f>IF(B998="","",IFERROR(INDEX(tblMaterial[Bezeichnung],MATCH(B998,tblMaterial[SAP],0)),"?"))</f>
        <v/>
      </c>
      <c r="D998">
        <f>IF(B998="","",IFERROR(INDEX(tblMaterial[Lagerstand],MATCH(B998,tblMaterial[SAP],0)),"?"))</f>
        <v/>
      </c>
      <c r="E998">
        <f>IF(B998="","",IFERROR(INDEX(tblMaterial[Meldebestand],MATCH(B998,tblMaterial[SAP],0)),"?"))</f>
        <v/>
      </c>
      <c r="F998">
        <f>IF(OR(B998="",NOT(ISNUMBER(D998))),"",IF(D998&lt;E998,"JA",""))</f>
        <v/>
      </c>
    </row>
    <row r="999">
      <c r="A999">
        <f>IFERROR(INDEX(tblStellplatz[Stellplatz],ROW()-1),"")</f>
        <v/>
      </c>
      <c r="B999">
        <f>IFERROR(INDEX(tblStellplatz[SAP],ROW()-1),"")</f>
        <v/>
      </c>
      <c r="C999">
        <f>IF(B999="","",IFERROR(INDEX(tblMaterial[Bezeichnung],MATCH(B999,tblMaterial[SAP],0)),"?"))</f>
        <v/>
      </c>
      <c r="D999">
        <f>IF(B999="","",IFERROR(INDEX(tblMaterial[Lagerstand],MATCH(B999,tblMaterial[SAP],0)),"?"))</f>
        <v/>
      </c>
      <c r="E999">
        <f>IF(B999="","",IFERROR(INDEX(tblMaterial[Meldebestand],MATCH(B999,tblMaterial[SAP],0)),"?"))</f>
        <v/>
      </c>
      <c r="F999">
        <f>IF(OR(B999="",NOT(ISNUMBER(D999))),"",IF(D999&lt;E999,"JA",""))</f>
        <v/>
      </c>
    </row>
    <row r="1000">
      <c r="A1000">
        <f>IFERROR(INDEX(tblStellplatz[Stellplatz],ROW()-1),"")</f>
        <v/>
      </c>
      <c r="B1000">
        <f>IFERROR(INDEX(tblStellplatz[SAP],ROW()-1),"")</f>
        <v/>
      </c>
      <c r="C1000">
        <f>IF(B1000="","",IFERROR(INDEX(tblMaterial[Bezeichnung],MATCH(B1000,tblMaterial[SAP],0)),"?"))</f>
        <v/>
      </c>
      <c r="D1000">
        <f>IF(B1000="","",IFERROR(INDEX(tblMaterial[Lagerstand],MATCH(B1000,tblMaterial[SAP],0)),"?"))</f>
        <v/>
      </c>
      <c r="E1000">
        <f>IF(B1000="","",IFERROR(INDEX(tblMaterial[Meldebestand],MATCH(B1000,tblMaterial[SAP],0)),"?"))</f>
        <v/>
      </c>
      <c r="F1000">
        <f>IF(OR(B1000="",NOT(ISNUMBER(D1000))),"",IF(D1000&lt;E1000,"JA",""))</f>
        <v/>
      </c>
    </row>
    <row r="1001">
      <c r="A1001">
        <f>IFERROR(INDEX(tblStellplatz[Stellplatz],ROW()-1),"")</f>
        <v/>
      </c>
      <c r="B1001">
        <f>IFERROR(INDEX(tblStellplatz[SAP],ROW()-1),"")</f>
        <v/>
      </c>
      <c r="C1001">
        <f>IF(B1001="","",IFERROR(INDEX(tblMaterial[Bezeichnung],MATCH(B1001,tblMaterial[SAP],0)),"?"))</f>
        <v/>
      </c>
      <c r="D1001">
        <f>IF(B1001="","",IFERROR(INDEX(tblMaterial[Lagerstand],MATCH(B1001,tblMaterial[SAP],0)),"?"))</f>
        <v/>
      </c>
      <c r="E1001">
        <f>IF(B1001="","",IFERROR(INDEX(tblMaterial[Meldebestand],MATCH(B1001,tblMaterial[SAP],0)),"?"))</f>
        <v/>
      </c>
      <c r="F1001">
        <f>IF(OR(B1001="",NOT(ISNUMBER(D1001))),"",IF(D1001&lt;E1001,"JA",""))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Hier die Stellplatz-Nummern so eintragen, wie das Lager wirklich aussieht (ab B2). Leere Zellen = Gang/Wand.</t>
        </is>
      </c>
    </row>
    <row r="2"/>
    <row r="3">
      <c r="B3" t="n">
        <v>1</v>
      </c>
      <c r="C3" t="n">
        <v>2</v>
      </c>
      <c r="D3" t="n">
        <v>3</v>
      </c>
      <c r="E3" t="n">
        <v>4</v>
      </c>
      <c r="F3" t="n">
        <v>5</v>
      </c>
      <c r="G3" t="n">
        <v>6</v>
      </c>
      <c r="H3" t="n">
        <v>7</v>
      </c>
      <c r="I3" t="n">
        <v>8</v>
      </c>
      <c r="J3" t="n">
        <v>9</v>
      </c>
      <c r="K3" t="n">
        <v>10</v>
      </c>
      <c r="L3" t="n">
        <v>11</v>
      </c>
      <c r="M3" t="n">
        <v>12</v>
      </c>
      <c r="N3" t="n">
        <v>13</v>
      </c>
      <c r="O3" t="n">
        <v>14</v>
      </c>
      <c r="P3" t="n">
        <v>15</v>
      </c>
      <c r="Q3" t="n">
        <v>16</v>
      </c>
      <c r="R3" t="n">
        <v>17</v>
      </c>
      <c r="S3" t="n">
        <v>18</v>
      </c>
      <c r="T3" t="n">
        <v>19</v>
      </c>
      <c r="U3" t="n">
        <v>20</v>
      </c>
    </row>
    <row r="4">
      <c r="B4" t="n">
        <v>21</v>
      </c>
      <c r="C4" t="n">
        <v>22</v>
      </c>
      <c r="D4" t="n">
        <v>23</v>
      </c>
      <c r="E4" t="n">
        <v>24</v>
      </c>
      <c r="F4" t="n">
        <v>25</v>
      </c>
      <c r="G4" t="n">
        <v>26</v>
      </c>
      <c r="H4" t="n">
        <v>27</v>
      </c>
      <c r="I4" t="n">
        <v>28</v>
      </c>
      <c r="J4" t="n">
        <v>29</v>
      </c>
      <c r="K4" t="n">
        <v>30</v>
      </c>
      <c r="L4" t="n">
        <v>31</v>
      </c>
      <c r="M4" t="n">
        <v>32</v>
      </c>
      <c r="N4" t="n">
        <v>33</v>
      </c>
      <c r="O4" t="n">
        <v>34</v>
      </c>
      <c r="P4" t="n">
        <v>35</v>
      </c>
      <c r="Q4" t="n">
        <v>36</v>
      </c>
      <c r="R4" t="n">
        <v>37</v>
      </c>
      <c r="S4" t="n">
        <v>38</v>
      </c>
      <c r="T4" t="n">
        <v>39</v>
      </c>
      <c r="U4" t="n">
        <v>40</v>
      </c>
    </row>
    <row r="5"/>
    <row r="6">
      <c r="B6" t="n">
        <v>41</v>
      </c>
      <c r="C6" t="n">
        <v>42</v>
      </c>
      <c r="D6" t="n">
        <v>43</v>
      </c>
      <c r="E6" t="n">
        <v>44</v>
      </c>
      <c r="F6" t="n">
        <v>45</v>
      </c>
      <c r="G6" t="n">
        <v>46</v>
      </c>
      <c r="H6" t="n">
        <v>47</v>
      </c>
      <c r="I6" t="n">
        <v>48</v>
      </c>
      <c r="J6" t="n">
        <v>49</v>
      </c>
      <c r="K6" t="n">
        <v>50</v>
      </c>
      <c r="L6" t="n">
        <v>51</v>
      </c>
      <c r="M6" t="n">
        <v>52</v>
      </c>
      <c r="N6" t="n">
        <v>53</v>
      </c>
      <c r="O6" t="n">
        <v>54</v>
      </c>
      <c r="P6" t="n">
        <v>55</v>
      </c>
      <c r="Q6" t="n">
        <v>56</v>
      </c>
      <c r="R6" t="n">
        <v>57</v>
      </c>
      <c r="S6" t="n">
        <v>58</v>
      </c>
      <c r="T6" t="n">
        <v>59</v>
      </c>
      <c r="U6" t="n">
        <v>60</v>
      </c>
    </row>
    <row r="7">
      <c r="B7" t="n">
        <v>61</v>
      </c>
      <c r="C7" t="n">
        <v>62</v>
      </c>
      <c r="D7" t="n">
        <v>63</v>
      </c>
      <c r="E7" t="n">
        <v>64</v>
      </c>
      <c r="F7" t="n">
        <v>65</v>
      </c>
      <c r="G7" t="n">
        <v>66</v>
      </c>
      <c r="H7" t="n">
        <v>67</v>
      </c>
      <c r="I7" t="n">
        <v>68</v>
      </c>
      <c r="J7" t="n">
        <v>69</v>
      </c>
      <c r="K7" t="n">
        <v>70</v>
      </c>
      <c r="L7" t="n">
        <v>71</v>
      </c>
      <c r="M7" t="n">
        <v>72</v>
      </c>
      <c r="N7" t="n">
        <v>73</v>
      </c>
      <c r="O7" t="n">
        <v>74</v>
      </c>
      <c r="P7" t="n">
        <v>75</v>
      </c>
      <c r="Q7" t="n">
        <v>76</v>
      </c>
      <c r="R7" t="n">
        <v>77</v>
      </c>
      <c r="S7" t="n">
        <v>78</v>
      </c>
      <c r="T7" t="n">
        <v>79</v>
      </c>
      <c r="U7" t="n">
        <v>80</v>
      </c>
    </row>
    <row r="8"/>
    <row r="9">
      <c r="B9" t="n">
        <v>81</v>
      </c>
      <c r="C9" t="n">
        <v>82</v>
      </c>
      <c r="D9" t="n">
        <v>83</v>
      </c>
      <c r="E9" t="n">
        <v>84</v>
      </c>
      <c r="F9" t="n">
        <v>85</v>
      </c>
      <c r="G9" t="n">
        <v>86</v>
      </c>
      <c r="H9" t="n">
        <v>87</v>
      </c>
      <c r="I9" t="n">
        <v>88</v>
      </c>
      <c r="J9" t="n">
        <v>89</v>
      </c>
      <c r="K9" t="n">
        <v>90</v>
      </c>
      <c r="L9" t="n">
        <v>91</v>
      </c>
      <c r="M9" t="n">
        <v>92</v>
      </c>
      <c r="N9" t="n">
        <v>93</v>
      </c>
      <c r="O9" t="n">
        <v>94</v>
      </c>
      <c r="P9" t="n">
        <v>95</v>
      </c>
      <c r="Q9" t="n">
        <v>96</v>
      </c>
      <c r="R9" t="n">
        <v>97</v>
      </c>
      <c r="S9" t="n">
        <v>98</v>
      </c>
      <c r="T9" t="n">
        <v>99</v>
      </c>
      <c r="U9" t="n">
        <v>100</v>
      </c>
    </row>
    <row r="10">
      <c r="B10" t="n">
        <v>101</v>
      </c>
      <c r="C10" t="n">
        <v>102</v>
      </c>
      <c r="D10" t="n">
        <v>103</v>
      </c>
      <c r="E10" t="n">
        <v>104</v>
      </c>
      <c r="F10" t="n">
        <v>105</v>
      </c>
      <c r="G10" t="n">
        <v>106</v>
      </c>
      <c r="H10" t="n">
        <v>107</v>
      </c>
      <c r="I10" t="n">
        <v>108</v>
      </c>
      <c r="J10" t="n">
        <v>109</v>
      </c>
      <c r="K10" t="n">
        <v>110</v>
      </c>
      <c r="L10" t="n">
        <v>111</v>
      </c>
      <c r="M10" t="n">
        <v>112</v>
      </c>
      <c r="N10" t="n">
        <v>113</v>
      </c>
      <c r="O10" t="n">
        <v>114</v>
      </c>
      <c r="P10" t="n">
        <v>115</v>
      </c>
      <c r="Q10" t="n">
        <v>116</v>
      </c>
      <c r="R10" t="n">
        <v>117</v>
      </c>
      <c r="S10" t="n">
        <v>118</v>
      </c>
      <c r="T10" t="n">
        <v>119</v>
      </c>
      <c r="U10" t="n">
        <v>120</v>
      </c>
    </row>
    <row r="11"/>
    <row r="12">
      <c r="B12" t="n">
        <v>121</v>
      </c>
      <c r="C12" t="n">
        <v>122</v>
      </c>
      <c r="D12" t="n">
        <v>123</v>
      </c>
      <c r="E12" t="n">
        <v>124</v>
      </c>
      <c r="F12" t="n">
        <v>125</v>
      </c>
      <c r="G12" t="n">
        <v>126</v>
      </c>
      <c r="H12" t="n">
        <v>127</v>
      </c>
      <c r="I12" t="n">
        <v>128</v>
      </c>
      <c r="J12" t="n">
        <v>129</v>
      </c>
      <c r="K12" t="n">
        <v>130</v>
      </c>
      <c r="L12" t="n">
        <v>131</v>
      </c>
      <c r="M12" t="n">
        <v>132</v>
      </c>
      <c r="N12" t="n">
        <v>133</v>
      </c>
      <c r="O12" t="n">
        <v>134</v>
      </c>
      <c r="P12" t="n">
        <v>135</v>
      </c>
      <c r="Q12" t="n">
        <v>136</v>
      </c>
      <c r="R12" t="n">
        <v>137</v>
      </c>
      <c r="S12" t="n">
        <v>138</v>
      </c>
      <c r="T12" t="n">
        <v>139</v>
      </c>
      <c r="U12" t="n">
        <v>140</v>
      </c>
    </row>
    <row r="13">
      <c r="B13" t="n">
        <v>141</v>
      </c>
      <c r="C13" t="n">
        <v>142</v>
      </c>
      <c r="D13" t="n">
        <v>143</v>
      </c>
      <c r="E13" t="n">
        <v>144</v>
      </c>
      <c r="F13" t="n">
        <v>145</v>
      </c>
      <c r="G13" t="n">
        <v>146</v>
      </c>
      <c r="H13" t="n">
        <v>147</v>
      </c>
      <c r="I13" t="n">
        <v>148</v>
      </c>
      <c r="J13" t="n">
        <v>149</v>
      </c>
      <c r="K13" t="n">
        <v>150</v>
      </c>
      <c r="L13" t="n">
        <v>151</v>
      </c>
      <c r="M13" t="n">
        <v>152</v>
      </c>
      <c r="N13" t="n">
        <v>153</v>
      </c>
      <c r="O13" t="n">
        <v>154</v>
      </c>
      <c r="P13" t="n">
        <v>155</v>
      </c>
      <c r="Q13" t="n">
        <v>156</v>
      </c>
      <c r="R13" t="n">
        <v>157</v>
      </c>
      <c r="S13" t="n">
        <v>158</v>
      </c>
      <c r="T13" t="n">
        <v>159</v>
      </c>
      <c r="U13" t="n">
        <v>160</v>
      </c>
    </row>
    <row r="14"/>
    <row r="15">
      <c r="B15" t="n">
        <v>161</v>
      </c>
      <c r="C15" t="n">
        <v>162</v>
      </c>
      <c r="D15" t="n">
        <v>163</v>
      </c>
      <c r="E15" t="n">
        <v>164</v>
      </c>
      <c r="F15" t="n">
        <v>165</v>
      </c>
      <c r="G15" t="n">
        <v>166</v>
      </c>
      <c r="H15" t="n">
        <v>167</v>
      </c>
      <c r="I15" t="n">
        <v>168</v>
      </c>
      <c r="J15" t="n">
        <v>169</v>
      </c>
      <c r="K15" t="n">
        <v>170</v>
      </c>
      <c r="L15" t="n">
        <v>171</v>
      </c>
      <c r="M15" t="n">
        <v>172</v>
      </c>
      <c r="N15" t="n">
        <v>173</v>
      </c>
      <c r="O15" t="n">
        <v>174</v>
      </c>
      <c r="P15" t="n">
        <v>175</v>
      </c>
      <c r="Q15" t="n">
        <v>176</v>
      </c>
      <c r="R15" t="n">
        <v>177</v>
      </c>
      <c r="S15" t="n">
        <v>178</v>
      </c>
      <c r="T15" t="n">
        <v>179</v>
      </c>
      <c r="U15" t="n">
        <v>180</v>
      </c>
    </row>
    <row r="16">
      <c r="B16" t="n">
        <v>181</v>
      </c>
      <c r="C16" t="n">
        <v>182</v>
      </c>
      <c r="D16" t="n">
        <v>183</v>
      </c>
      <c r="E16" t="n">
        <v>184</v>
      </c>
      <c r="F16" t="n">
        <v>185</v>
      </c>
      <c r="G16" t="n">
        <v>186</v>
      </c>
      <c r="H16" t="n">
        <v>187</v>
      </c>
      <c r="I16" t="n">
        <v>188</v>
      </c>
      <c r="J16" t="n">
        <v>189</v>
      </c>
      <c r="K16" t="n">
        <v>190</v>
      </c>
      <c r="L16" t="n">
        <v>191</v>
      </c>
      <c r="M16" t="n">
        <v>192</v>
      </c>
      <c r="N16" t="n">
        <v>193</v>
      </c>
      <c r="O16" t="n">
        <v>194</v>
      </c>
      <c r="P16" t="n">
        <v>195</v>
      </c>
      <c r="Q16" t="n">
        <v>196</v>
      </c>
      <c r="R16" t="n">
        <v>197</v>
      </c>
      <c r="S16" t="n">
        <v>198</v>
      </c>
      <c r="T16" t="n">
        <v>199</v>
      </c>
      <c r="U16" t="n">
        <v>200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cols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</cols>
  <sheetData>
    <row r="1">
      <c r="A1" s="3" t="inlineStr">
        <is>
          <t>Lagerplan (nur lesen) – Platz / MN</t>
        </is>
      </c>
    </row>
    <row r="2" ht="30" customHeight="1">
      <c r="B2" s="4">
        <f>IF(PlanLayout!B2="","",PlanLayout!B2&amp;CHAR(10)&amp;IFERROR(IF(INDEX(tblStellplatz[SAP],MATCH(PlanLayout!B2,tblStellplatz[Stellplatz],0))="","leer",IF(LEFT(RIGHT(INDEX(tblStellplatz[SAP],MATCH(PlanLayout!B2,tblStellplatz[Stellplatz],0)),4),1)="0",RIGHT(INDEX(tblStellplatz[SAP],MATCH(PlanLayout!B2,tblStellplatz[Stellplatz],0)),5),RIGHT(INDEX(tblStellplatz[SAP],MATCH(PlanLayout!B2,tblStellplatz[Stellplatz],0)),4))),"?"))</f>
        <v/>
      </c>
      <c r="C2" s="4">
        <f>IF(PlanLayout!C2="","",PlanLayout!C2&amp;CHAR(10)&amp;IFERROR(IF(INDEX(tblStellplatz[SAP],MATCH(PlanLayout!C2,tblStellplatz[Stellplatz],0))="","leer",IF(LEFT(RIGHT(INDEX(tblStellplatz[SAP],MATCH(PlanLayout!C2,tblStellplatz[Stellplatz],0)),4),1)="0",RIGHT(INDEX(tblStellplatz[SAP],MATCH(PlanLayout!C2,tblStellplatz[Stellplatz],0)),5),RIGHT(INDEX(tblStellplatz[SAP],MATCH(PlanLayout!C2,tblStellplatz[Stellplatz],0)),4))),"?"))</f>
        <v/>
      </c>
      <c r="D2" s="4">
        <f>IF(PlanLayout!D2="","",PlanLayout!D2&amp;CHAR(10)&amp;IFERROR(IF(INDEX(tblStellplatz[SAP],MATCH(PlanLayout!D2,tblStellplatz[Stellplatz],0))="","leer",IF(LEFT(RIGHT(INDEX(tblStellplatz[SAP],MATCH(PlanLayout!D2,tblStellplatz[Stellplatz],0)),4),1)="0",RIGHT(INDEX(tblStellplatz[SAP],MATCH(PlanLayout!D2,tblStellplatz[Stellplatz],0)),5),RIGHT(INDEX(tblStellplatz[SAP],MATCH(PlanLayout!D2,tblStellplatz[Stellplatz],0)),4))),"?"))</f>
        <v/>
      </c>
      <c r="E2" s="4">
        <f>IF(PlanLayout!E2="","",PlanLayout!E2&amp;CHAR(10)&amp;IFERROR(IF(INDEX(tblStellplatz[SAP],MATCH(PlanLayout!E2,tblStellplatz[Stellplatz],0))="","leer",IF(LEFT(RIGHT(INDEX(tblStellplatz[SAP],MATCH(PlanLayout!E2,tblStellplatz[Stellplatz],0)),4),1)="0",RIGHT(INDEX(tblStellplatz[SAP],MATCH(PlanLayout!E2,tblStellplatz[Stellplatz],0)),5),RIGHT(INDEX(tblStellplatz[SAP],MATCH(PlanLayout!E2,tblStellplatz[Stellplatz],0)),4))),"?"))</f>
        <v/>
      </c>
      <c r="F2" s="4">
        <f>IF(PlanLayout!F2="","",PlanLayout!F2&amp;CHAR(10)&amp;IFERROR(IF(INDEX(tblStellplatz[SAP],MATCH(PlanLayout!F2,tblStellplatz[Stellplatz],0))="","leer",IF(LEFT(RIGHT(INDEX(tblStellplatz[SAP],MATCH(PlanLayout!F2,tblStellplatz[Stellplatz],0)),4),1)="0",RIGHT(INDEX(tblStellplatz[SAP],MATCH(PlanLayout!F2,tblStellplatz[Stellplatz],0)),5),RIGHT(INDEX(tblStellplatz[SAP],MATCH(PlanLayout!F2,tblStellplatz[Stellplatz],0)),4))),"?"))</f>
        <v/>
      </c>
      <c r="G2" s="4">
        <f>IF(PlanLayout!G2="","",PlanLayout!G2&amp;CHAR(10)&amp;IFERROR(IF(INDEX(tblStellplatz[SAP],MATCH(PlanLayout!G2,tblStellplatz[Stellplatz],0))="","leer",IF(LEFT(RIGHT(INDEX(tblStellplatz[SAP],MATCH(PlanLayout!G2,tblStellplatz[Stellplatz],0)),4),1)="0",RIGHT(INDEX(tblStellplatz[SAP],MATCH(PlanLayout!G2,tblStellplatz[Stellplatz],0)),5),RIGHT(INDEX(tblStellplatz[SAP],MATCH(PlanLayout!G2,tblStellplatz[Stellplatz],0)),4))),"?"))</f>
        <v/>
      </c>
      <c r="H2" s="4">
        <f>IF(PlanLayout!H2="","",PlanLayout!H2&amp;CHAR(10)&amp;IFERROR(IF(INDEX(tblStellplatz[SAP],MATCH(PlanLayout!H2,tblStellplatz[Stellplatz],0))="","leer",IF(LEFT(RIGHT(INDEX(tblStellplatz[SAP],MATCH(PlanLayout!H2,tblStellplatz[Stellplatz],0)),4),1)="0",RIGHT(INDEX(tblStellplatz[SAP],MATCH(PlanLayout!H2,tblStellplatz[Stellplatz],0)),5),RIGHT(INDEX(tblStellplatz[SAP],MATCH(PlanLayout!H2,tblStellplatz[Stellplatz],0)),4))),"?"))</f>
        <v/>
      </c>
      <c r="I2" s="4">
        <f>IF(PlanLayout!I2="","",PlanLayout!I2&amp;CHAR(10)&amp;IFERROR(IF(INDEX(tblStellplatz[SAP],MATCH(PlanLayout!I2,tblStellplatz[Stellplatz],0))="","leer",IF(LEFT(RIGHT(INDEX(tblStellplatz[SAP],MATCH(PlanLayout!I2,tblStellplatz[Stellplatz],0)),4),1)="0",RIGHT(INDEX(tblStellplatz[SAP],MATCH(PlanLayout!I2,tblStellplatz[Stellplatz],0)),5),RIGHT(INDEX(tblStellplatz[SAP],MATCH(PlanLayout!I2,tblStellplatz[Stellplatz],0)),4))),"?"))</f>
        <v/>
      </c>
      <c r="J2" s="4">
        <f>IF(PlanLayout!J2="","",PlanLayout!J2&amp;CHAR(10)&amp;IFERROR(IF(INDEX(tblStellplatz[SAP],MATCH(PlanLayout!J2,tblStellplatz[Stellplatz],0))="","leer",IF(LEFT(RIGHT(INDEX(tblStellplatz[SAP],MATCH(PlanLayout!J2,tblStellplatz[Stellplatz],0)),4),1)="0",RIGHT(INDEX(tblStellplatz[SAP],MATCH(PlanLayout!J2,tblStellplatz[Stellplatz],0)),5),RIGHT(INDEX(tblStellplatz[SAP],MATCH(PlanLayout!J2,tblStellplatz[Stellplatz],0)),4))),"?"))</f>
        <v/>
      </c>
      <c r="K2" s="4">
        <f>IF(PlanLayout!K2="","",PlanLayout!K2&amp;CHAR(10)&amp;IFERROR(IF(INDEX(tblStellplatz[SAP],MATCH(PlanLayout!K2,tblStellplatz[Stellplatz],0))="","leer",IF(LEFT(RIGHT(INDEX(tblStellplatz[SAP],MATCH(PlanLayout!K2,tblStellplatz[Stellplatz],0)),4),1)="0",RIGHT(INDEX(tblStellplatz[SAP],MATCH(PlanLayout!K2,tblStellplatz[Stellplatz],0)),5),RIGHT(INDEX(tblStellplatz[SAP],MATCH(PlanLayout!K2,tblStellplatz[Stellplatz],0)),4))),"?"))</f>
        <v/>
      </c>
      <c r="L2" s="4">
        <f>IF(PlanLayout!L2="","",PlanLayout!L2&amp;CHAR(10)&amp;IFERROR(IF(INDEX(tblStellplatz[SAP],MATCH(PlanLayout!L2,tblStellplatz[Stellplatz],0))="","leer",IF(LEFT(RIGHT(INDEX(tblStellplatz[SAP],MATCH(PlanLayout!L2,tblStellplatz[Stellplatz],0)),4),1)="0",RIGHT(INDEX(tblStellplatz[SAP],MATCH(PlanLayout!L2,tblStellplatz[Stellplatz],0)),5),RIGHT(INDEX(tblStellplatz[SAP],MATCH(PlanLayout!L2,tblStellplatz[Stellplatz],0)),4))),"?"))</f>
        <v/>
      </c>
      <c r="M2" s="4">
        <f>IF(PlanLayout!M2="","",PlanLayout!M2&amp;CHAR(10)&amp;IFERROR(IF(INDEX(tblStellplatz[SAP],MATCH(PlanLayout!M2,tblStellplatz[Stellplatz],0))="","leer",IF(LEFT(RIGHT(INDEX(tblStellplatz[SAP],MATCH(PlanLayout!M2,tblStellplatz[Stellplatz],0)),4),1)="0",RIGHT(INDEX(tblStellplatz[SAP],MATCH(PlanLayout!M2,tblStellplatz[Stellplatz],0)),5),RIGHT(INDEX(tblStellplatz[SAP],MATCH(PlanLayout!M2,tblStellplatz[Stellplatz],0)),4))),"?"))</f>
        <v/>
      </c>
      <c r="N2" s="4">
        <f>IF(PlanLayout!N2="","",PlanLayout!N2&amp;CHAR(10)&amp;IFERROR(IF(INDEX(tblStellplatz[SAP],MATCH(PlanLayout!N2,tblStellplatz[Stellplatz],0))="","leer",IF(LEFT(RIGHT(INDEX(tblStellplatz[SAP],MATCH(PlanLayout!N2,tblStellplatz[Stellplatz],0)),4),1)="0",RIGHT(INDEX(tblStellplatz[SAP],MATCH(PlanLayout!N2,tblStellplatz[Stellplatz],0)),5),RIGHT(INDEX(tblStellplatz[SAP],MATCH(PlanLayout!N2,tblStellplatz[Stellplatz],0)),4))),"?"))</f>
        <v/>
      </c>
      <c r="O2" s="4">
        <f>IF(PlanLayout!O2="","",PlanLayout!O2&amp;CHAR(10)&amp;IFERROR(IF(INDEX(tblStellplatz[SAP],MATCH(PlanLayout!O2,tblStellplatz[Stellplatz],0))="","leer",IF(LEFT(RIGHT(INDEX(tblStellplatz[SAP],MATCH(PlanLayout!O2,tblStellplatz[Stellplatz],0)),4),1)="0",RIGHT(INDEX(tblStellplatz[SAP],MATCH(PlanLayout!O2,tblStellplatz[Stellplatz],0)),5),RIGHT(INDEX(tblStellplatz[SAP],MATCH(PlanLayout!O2,tblStellplatz[Stellplatz],0)),4))),"?"))</f>
        <v/>
      </c>
      <c r="P2" s="4">
        <f>IF(PlanLayout!P2="","",PlanLayout!P2&amp;CHAR(10)&amp;IFERROR(IF(INDEX(tblStellplatz[SAP],MATCH(PlanLayout!P2,tblStellplatz[Stellplatz],0))="","leer",IF(LEFT(RIGHT(INDEX(tblStellplatz[SAP],MATCH(PlanLayout!P2,tblStellplatz[Stellplatz],0)),4),1)="0",RIGHT(INDEX(tblStellplatz[SAP],MATCH(PlanLayout!P2,tblStellplatz[Stellplatz],0)),5),RIGHT(INDEX(tblStellplatz[SAP],MATCH(PlanLayout!P2,tblStellplatz[Stellplatz],0)),4))),"?"))</f>
        <v/>
      </c>
      <c r="Q2" s="4">
        <f>IF(PlanLayout!Q2="","",PlanLayout!Q2&amp;CHAR(10)&amp;IFERROR(IF(INDEX(tblStellplatz[SAP],MATCH(PlanLayout!Q2,tblStellplatz[Stellplatz],0))="","leer",IF(LEFT(RIGHT(INDEX(tblStellplatz[SAP],MATCH(PlanLayout!Q2,tblStellplatz[Stellplatz],0)),4),1)="0",RIGHT(INDEX(tblStellplatz[SAP],MATCH(PlanLayout!Q2,tblStellplatz[Stellplatz],0)),5),RIGHT(INDEX(tblStellplatz[SAP],MATCH(PlanLayout!Q2,tblStellplatz[Stellplatz],0)),4))),"?"))</f>
        <v/>
      </c>
      <c r="R2" s="4">
        <f>IF(PlanLayout!R2="","",PlanLayout!R2&amp;CHAR(10)&amp;IFERROR(IF(INDEX(tblStellplatz[SAP],MATCH(PlanLayout!R2,tblStellplatz[Stellplatz],0))="","leer",IF(LEFT(RIGHT(INDEX(tblStellplatz[SAP],MATCH(PlanLayout!R2,tblStellplatz[Stellplatz],0)),4),1)="0",RIGHT(INDEX(tblStellplatz[SAP],MATCH(PlanLayout!R2,tblStellplatz[Stellplatz],0)),5),RIGHT(INDEX(tblStellplatz[SAP],MATCH(PlanLayout!R2,tblStellplatz[Stellplatz],0)),4))),"?"))</f>
        <v/>
      </c>
      <c r="S2" s="4">
        <f>IF(PlanLayout!S2="","",PlanLayout!S2&amp;CHAR(10)&amp;IFERROR(IF(INDEX(tblStellplatz[SAP],MATCH(PlanLayout!S2,tblStellplatz[Stellplatz],0))="","leer",IF(LEFT(RIGHT(INDEX(tblStellplatz[SAP],MATCH(PlanLayout!S2,tblStellplatz[Stellplatz],0)),4),1)="0",RIGHT(INDEX(tblStellplatz[SAP],MATCH(PlanLayout!S2,tblStellplatz[Stellplatz],0)),5),RIGHT(INDEX(tblStellplatz[SAP],MATCH(PlanLayout!S2,tblStellplatz[Stellplatz],0)),4))),"?"))</f>
        <v/>
      </c>
      <c r="T2" s="4">
        <f>IF(PlanLayout!T2="","",PlanLayout!T2&amp;CHAR(10)&amp;IFERROR(IF(INDEX(tblStellplatz[SAP],MATCH(PlanLayout!T2,tblStellplatz[Stellplatz],0))="","leer",IF(LEFT(RIGHT(INDEX(tblStellplatz[SAP],MATCH(PlanLayout!T2,tblStellplatz[Stellplatz],0)),4),1)="0",RIGHT(INDEX(tblStellplatz[SAP],MATCH(PlanLayout!T2,tblStellplatz[Stellplatz],0)),5),RIGHT(INDEX(tblStellplatz[SAP],MATCH(PlanLayout!T2,tblStellplatz[Stellplatz],0)),4))),"?"))</f>
        <v/>
      </c>
      <c r="U2" s="4">
        <f>IF(PlanLayout!U2="","",PlanLayout!U2&amp;CHAR(10)&amp;IFERROR(IF(INDEX(tblStellplatz[SAP],MATCH(PlanLayout!U2,tblStellplatz[Stellplatz],0))="","leer",IF(LEFT(RIGHT(INDEX(tblStellplatz[SAP],MATCH(PlanLayout!U2,tblStellplatz[Stellplatz],0)),4),1)="0",RIGHT(INDEX(tblStellplatz[SAP],MATCH(PlanLayout!U2,tblStellplatz[Stellplatz],0)),5),RIGHT(INDEX(tblStellplatz[SAP],MATCH(PlanLayout!U2,tblStellplatz[Stellplatz],0)),4))),"?"))</f>
        <v/>
      </c>
      <c r="V2" s="4">
        <f>IF(PlanLayout!V2="","",PlanLayout!V2&amp;CHAR(10)&amp;IFERROR(IF(INDEX(tblStellplatz[SAP],MATCH(PlanLayout!V2,tblStellplatz[Stellplatz],0))="","leer",IF(LEFT(RIGHT(INDEX(tblStellplatz[SAP],MATCH(PlanLayout!V2,tblStellplatz[Stellplatz],0)),4),1)="0",RIGHT(INDEX(tblStellplatz[SAP],MATCH(PlanLayout!V2,tblStellplatz[Stellplatz],0)),5),RIGHT(INDEX(tblStellplatz[SAP],MATCH(PlanLayout!V2,tblStellplatz[Stellplatz],0)),4))),"?"))</f>
        <v/>
      </c>
      <c r="W2" s="4">
        <f>IF(PlanLayout!W2="","",PlanLayout!W2&amp;CHAR(10)&amp;IFERROR(IF(INDEX(tblStellplatz[SAP],MATCH(PlanLayout!W2,tblStellplatz[Stellplatz],0))="","leer",IF(LEFT(RIGHT(INDEX(tblStellplatz[SAP],MATCH(PlanLayout!W2,tblStellplatz[Stellplatz],0)),4),1)="0",RIGHT(INDEX(tblStellplatz[SAP],MATCH(PlanLayout!W2,tblStellplatz[Stellplatz],0)),5),RIGHT(INDEX(tblStellplatz[SAP],MATCH(PlanLayout!W2,tblStellplatz[Stellplatz],0)),4))),"?"))</f>
        <v/>
      </c>
      <c r="X2" s="4">
        <f>IF(PlanLayout!X2="","",PlanLayout!X2&amp;CHAR(10)&amp;IFERROR(IF(INDEX(tblStellplatz[SAP],MATCH(PlanLayout!X2,tblStellplatz[Stellplatz],0))="","leer",IF(LEFT(RIGHT(INDEX(tblStellplatz[SAP],MATCH(PlanLayout!X2,tblStellplatz[Stellplatz],0)),4),1)="0",RIGHT(INDEX(tblStellplatz[SAP],MATCH(PlanLayout!X2,tblStellplatz[Stellplatz],0)),5),RIGHT(INDEX(tblStellplatz[SAP],MATCH(PlanLayout!X2,tblStellplatz[Stellplatz],0)),4))),"?"))</f>
        <v/>
      </c>
      <c r="Y2" s="4">
        <f>IF(PlanLayout!Y2="","",PlanLayout!Y2&amp;CHAR(10)&amp;IFERROR(IF(INDEX(tblStellplatz[SAP],MATCH(PlanLayout!Y2,tblStellplatz[Stellplatz],0))="","leer",IF(LEFT(RIGHT(INDEX(tblStellplatz[SAP],MATCH(PlanLayout!Y2,tblStellplatz[Stellplatz],0)),4),1)="0",RIGHT(INDEX(tblStellplatz[SAP],MATCH(PlanLayout!Y2,tblStellplatz[Stellplatz],0)),5),RIGHT(INDEX(tblStellplatz[SAP],MATCH(PlanLayout!Y2,tblStellplatz[Stellplatz],0)),4))),"?"))</f>
        <v/>
      </c>
      <c r="Z2" s="4">
        <f>IF(PlanLayout!Z2="","",PlanLayout!Z2&amp;CHAR(10)&amp;IFERROR(IF(INDEX(tblStellplatz[SAP],MATCH(PlanLayout!Z2,tblStellplatz[Stellplatz],0))="","leer",IF(LEFT(RIGHT(INDEX(tblStellplatz[SAP],MATCH(PlanLayout!Z2,tblStellplatz[Stellplatz],0)),4),1)="0",RIGHT(INDEX(tblStellplatz[SAP],MATCH(PlanLayout!Z2,tblStellplatz[Stellplatz],0)),5),RIGHT(INDEX(tblStellplatz[SAP],MATCH(PlanLayout!Z2,tblStellplatz[Stellplatz],0)),4))),"?"))</f>
        <v/>
      </c>
      <c r="AA2" s="4">
        <f>IF(PlanLayout!AA2="","",PlanLayout!AA2&amp;CHAR(10)&amp;IFERROR(IF(INDEX(tblStellplatz[SAP],MATCH(PlanLayout!AA2,tblStellplatz[Stellplatz],0))="","leer",IF(LEFT(RIGHT(INDEX(tblStellplatz[SAP],MATCH(PlanLayout!AA2,tblStellplatz[Stellplatz],0)),4),1)="0",RIGHT(INDEX(tblStellplatz[SAP],MATCH(PlanLayout!AA2,tblStellplatz[Stellplatz],0)),5),RIGHT(INDEX(tblStellplatz[SAP],MATCH(PlanLayout!AA2,tblStellplatz[Stellplatz],0)),4))),"?"))</f>
        <v/>
      </c>
      <c r="AB2" s="4">
        <f>IF(PlanLayout!AB2="","",PlanLayout!AB2&amp;CHAR(10)&amp;IFERROR(IF(INDEX(tblStellplatz[SAP],MATCH(PlanLayout!AB2,tblStellplatz[Stellplatz],0))="","leer",IF(LEFT(RIGHT(INDEX(tblStellplatz[SAP],MATCH(PlanLayout!AB2,tblStellplatz[Stellplatz],0)),4),1)="0",RIGHT(INDEX(tblStellplatz[SAP],MATCH(PlanLayout!AB2,tblStellplatz[Stellplatz],0)),5),RIGHT(INDEX(tblStellplatz[SAP],MATCH(PlanLayout!AB2,tblStellplatz[Stellplatz],0)),4))),"?"))</f>
        <v/>
      </c>
      <c r="AC2" s="4">
        <f>IF(PlanLayout!AC2="","",PlanLayout!AC2&amp;CHAR(10)&amp;IFERROR(IF(INDEX(tblStellplatz[SAP],MATCH(PlanLayout!AC2,tblStellplatz[Stellplatz],0))="","leer",IF(LEFT(RIGHT(INDEX(tblStellplatz[SAP],MATCH(PlanLayout!AC2,tblStellplatz[Stellplatz],0)),4),1)="0",RIGHT(INDEX(tblStellplatz[SAP],MATCH(PlanLayout!AC2,tblStellplatz[Stellplatz],0)),5),RIGHT(INDEX(tblStellplatz[SAP],MATCH(PlanLayout!AC2,tblStellplatz[Stellplatz],0)),4))),"?"))</f>
        <v/>
      </c>
      <c r="AD2" s="4">
        <f>IF(PlanLayout!AD2="","",PlanLayout!AD2&amp;CHAR(10)&amp;IFERROR(IF(INDEX(tblStellplatz[SAP],MATCH(PlanLayout!AD2,tblStellplatz[Stellplatz],0))="","leer",IF(LEFT(RIGHT(INDEX(tblStellplatz[SAP],MATCH(PlanLayout!AD2,tblStellplatz[Stellplatz],0)),4),1)="0",RIGHT(INDEX(tblStellplatz[SAP],MATCH(PlanLayout!AD2,tblStellplatz[Stellplatz],0)),5),RIGHT(INDEX(tblStellplatz[SAP],MATCH(PlanLayout!AD2,tblStellplatz[Stellplatz],0)),4))),"?"))</f>
        <v/>
      </c>
      <c r="AE2" s="4">
        <f>IF(PlanLayout!AE2="","",PlanLayout!AE2&amp;CHAR(10)&amp;IFERROR(IF(INDEX(tblStellplatz[SAP],MATCH(PlanLayout!AE2,tblStellplatz[Stellplatz],0))="","leer",IF(LEFT(RIGHT(INDEX(tblStellplatz[SAP],MATCH(PlanLayout!AE2,tblStellplatz[Stellplatz],0)),4),1)="0",RIGHT(INDEX(tblStellplatz[SAP],MATCH(PlanLayout!AE2,tblStellplatz[Stellplatz],0)),5),RIGHT(INDEX(tblStellplatz[SAP],MATCH(PlanLayout!AE2,tblStellplatz[Stellplatz],0)),4))),"?"))</f>
        <v/>
      </c>
      <c r="AF2" s="4">
        <f>IF(PlanLayout!AF2="","",PlanLayout!AF2&amp;CHAR(10)&amp;IFERROR(IF(INDEX(tblStellplatz[SAP],MATCH(PlanLayout!AF2,tblStellplatz[Stellplatz],0))="","leer",IF(LEFT(RIGHT(INDEX(tblStellplatz[SAP],MATCH(PlanLayout!AF2,tblStellplatz[Stellplatz],0)),4),1)="0",RIGHT(INDEX(tblStellplatz[SAP],MATCH(PlanLayout!AF2,tblStellplatz[Stellplatz],0)),5),RIGHT(INDEX(tblStellplatz[SAP],MATCH(PlanLayout!AF2,tblStellplatz[Stellplatz],0)),4))),"?"))</f>
        <v/>
      </c>
      <c r="AG2" s="4">
        <f>IF(PlanLayout!AG2="","",PlanLayout!AG2&amp;CHAR(10)&amp;IFERROR(IF(INDEX(tblStellplatz[SAP],MATCH(PlanLayout!AG2,tblStellplatz[Stellplatz],0))="","leer",IF(LEFT(RIGHT(INDEX(tblStellplatz[SAP],MATCH(PlanLayout!AG2,tblStellplatz[Stellplatz],0)),4),1)="0",RIGHT(INDEX(tblStellplatz[SAP],MATCH(PlanLayout!AG2,tblStellplatz[Stellplatz],0)),5),RIGHT(INDEX(tblStellplatz[SAP],MATCH(PlanLayout!AG2,tblStellplatz[Stellplatz],0)),4))),"?"))</f>
        <v/>
      </c>
      <c r="AH2" s="4">
        <f>IF(PlanLayout!AH2="","",PlanLayout!AH2&amp;CHAR(10)&amp;IFERROR(IF(INDEX(tblStellplatz[SAP],MATCH(PlanLayout!AH2,tblStellplatz[Stellplatz],0))="","leer",IF(LEFT(RIGHT(INDEX(tblStellplatz[SAP],MATCH(PlanLayout!AH2,tblStellplatz[Stellplatz],0)),4),1)="0",RIGHT(INDEX(tblStellplatz[SAP],MATCH(PlanLayout!AH2,tblStellplatz[Stellplatz],0)),5),RIGHT(INDEX(tblStellplatz[SAP],MATCH(PlanLayout!AH2,tblStellplatz[Stellplatz],0)),4))),"?"))</f>
        <v/>
      </c>
      <c r="AI2" s="4">
        <f>IF(PlanLayout!AI2="","",PlanLayout!AI2&amp;CHAR(10)&amp;IFERROR(IF(INDEX(tblStellplatz[SAP],MATCH(PlanLayout!AI2,tblStellplatz[Stellplatz],0))="","leer",IF(LEFT(RIGHT(INDEX(tblStellplatz[SAP],MATCH(PlanLayout!AI2,tblStellplatz[Stellplatz],0)),4),1)="0",RIGHT(INDEX(tblStellplatz[SAP],MATCH(PlanLayout!AI2,tblStellplatz[Stellplatz],0)),5),RIGHT(INDEX(tblStellplatz[SAP],MATCH(PlanLayout!AI2,tblStellplatz[Stellplatz],0)),4))),"?"))</f>
        <v/>
      </c>
      <c r="AJ2" s="4">
        <f>IF(PlanLayout!AJ2="","",PlanLayout!AJ2&amp;CHAR(10)&amp;IFERROR(IF(INDEX(tblStellplatz[SAP],MATCH(PlanLayout!AJ2,tblStellplatz[Stellplatz],0))="","leer",IF(LEFT(RIGHT(INDEX(tblStellplatz[SAP],MATCH(PlanLayout!AJ2,tblStellplatz[Stellplatz],0)),4),1)="0",RIGHT(INDEX(tblStellplatz[SAP],MATCH(PlanLayout!AJ2,tblStellplatz[Stellplatz],0)),5),RIGHT(INDEX(tblStellplatz[SAP],MATCH(PlanLayout!AJ2,tblStellplatz[Stellplatz],0)),4))),"?"))</f>
        <v/>
      </c>
      <c r="AK2" s="4">
        <f>IF(PlanLayout!AK2="","",PlanLayout!AK2&amp;CHAR(10)&amp;IFERROR(IF(INDEX(tblStellplatz[SAP],MATCH(PlanLayout!AK2,tblStellplatz[Stellplatz],0))="","leer",IF(LEFT(RIGHT(INDEX(tblStellplatz[SAP],MATCH(PlanLayout!AK2,tblStellplatz[Stellplatz],0)),4),1)="0",RIGHT(INDEX(tblStellplatz[SAP],MATCH(PlanLayout!AK2,tblStellplatz[Stellplatz],0)),5),RIGHT(INDEX(tblStellplatz[SAP],MATCH(PlanLayout!AK2,tblStellplatz[Stellplatz],0)),4))),"?"))</f>
        <v/>
      </c>
      <c r="AL2" s="4">
        <f>IF(PlanLayout!AL2="","",PlanLayout!AL2&amp;CHAR(10)&amp;IFERROR(IF(INDEX(tblStellplatz[SAP],MATCH(PlanLayout!AL2,tblStellplatz[Stellplatz],0))="","leer",IF(LEFT(RIGHT(INDEX(tblStellplatz[SAP],MATCH(PlanLayout!AL2,tblStellplatz[Stellplatz],0)),4),1)="0",RIGHT(INDEX(tblStellplatz[SAP],MATCH(PlanLayout!AL2,tblStellplatz[Stellplatz],0)),5),RIGHT(INDEX(tblStellplatz[SAP],MATCH(PlanLayout!AL2,tblStellplatz[Stellplatz],0)),4))),"?"))</f>
        <v/>
      </c>
      <c r="AM2" s="4">
        <f>IF(PlanLayout!AM2="","",PlanLayout!AM2&amp;CHAR(10)&amp;IFERROR(IF(INDEX(tblStellplatz[SAP],MATCH(PlanLayout!AM2,tblStellplatz[Stellplatz],0))="","leer",IF(LEFT(RIGHT(INDEX(tblStellplatz[SAP],MATCH(PlanLayout!AM2,tblStellplatz[Stellplatz],0)),4),1)="0",RIGHT(INDEX(tblStellplatz[SAP],MATCH(PlanLayout!AM2,tblStellplatz[Stellplatz],0)),5),RIGHT(INDEX(tblStellplatz[SAP],MATCH(PlanLayout!AM2,tblStellplatz[Stellplatz],0)),4))),"?"))</f>
        <v/>
      </c>
      <c r="AN2" s="4">
        <f>IF(PlanLayout!AN2="","",PlanLayout!AN2&amp;CHAR(10)&amp;IFERROR(IF(INDEX(tblStellplatz[SAP],MATCH(PlanLayout!AN2,tblStellplatz[Stellplatz],0))="","leer",IF(LEFT(RIGHT(INDEX(tblStellplatz[SAP],MATCH(PlanLayout!AN2,tblStellplatz[Stellplatz],0)),4),1)="0",RIGHT(INDEX(tblStellplatz[SAP],MATCH(PlanLayout!AN2,tblStellplatz[Stellplatz],0)),5),RIGHT(INDEX(tblStellplatz[SAP],MATCH(PlanLayout!AN2,tblStellplatz[Stellplatz],0)),4))),"?"))</f>
        <v/>
      </c>
      <c r="AO2" s="4">
        <f>IF(PlanLayout!AO2="","",PlanLayout!AO2&amp;CHAR(10)&amp;IFERROR(IF(INDEX(tblStellplatz[SAP],MATCH(PlanLayout!AO2,tblStellplatz[Stellplatz],0))="","leer",IF(LEFT(RIGHT(INDEX(tblStellplatz[SAP],MATCH(PlanLayout!AO2,tblStellplatz[Stellplatz],0)),4),1)="0",RIGHT(INDEX(tblStellplatz[SAP],MATCH(PlanLayout!AO2,tblStellplatz[Stellplatz],0)),5),RIGHT(INDEX(tblStellplatz[SAP],MATCH(PlanLayout!AO2,tblStellplatz[Stellplatz],0)),4))),"?"))</f>
        <v/>
      </c>
    </row>
    <row r="3" ht="30" customHeight="1">
      <c r="B3" s="4">
        <f>IF(PlanLayout!B3="","",PlanLayout!B3&amp;CHAR(10)&amp;IFERROR(IF(INDEX(tblStellplatz[SAP],MATCH(PlanLayout!B3,tblStellplatz[Stellplatz],0))="","leer",IF(LEFT(RIGHT(INDEX(tblStellplatz[SAP],MATCH(PlanLayout!B3,tblStellplatz[Stellplatz],0)),4),1)="0",RIGHT(INDEX(tblStellplatz[SAP],MATCH(PlanLayout!B3,tblStellplatz[Stellplatz],0)),5),RIGHT(INDEX(tblStellplatz[SAP],MATCH(PlanLayout!B3,tblStellplatz[Stellplatz],0)),4))),"?"))</f>
        <v/>
      </c>
      <c r="C3" s="4">
        <f>IF(PlanLayout!C3="","",PlanLayout!C3&amp;CHAR(10)&amp;IFERROR(IF(INDEX(tblStellplatz[SAP],MATCH(PlanLayout!C3,tblStellplatz[Stellplatz],0))="","leer",IF(LEFT(RIGHT(INDEX(tblStellplatz[SAP],MATCH(PlanLayout!C3,tblStellplatz[Stellplatz],0)),4),1)="0",RIGHT(INDEX(tblStellplatz[SAP],MATCH(PlanLayout!C3,tblStellplatz[Stellplatz],0)),5),RIGHT(INDEX(tblStellplatz[SAP],MATCH(PlanLayout!C3,tblStellplatz[Stellplatz],0)),4))),"?"))</f>
        <v/>
      </c>
      <c r="D3" s="4">
        <f>IF(PlanLayout!D3="","",PlanLayout!D3&amp;CHAR(10)&amp;IFERROR(IF(INDEX(tblStellplatz[SAP],MATCH(PlanLayout!D3,tblStellplatz[Stellplatz],0))="","leer",IF(LEFT(RIGHT(INDEX(tblStellplatz[SAP],MATCH(PlanLayout!D3,tblStellplatz[Stellplatz],0)),4),1)="0",RIGHT(INDEX(tblStellplatz[SAP],MATCH(PlanLayout!D3,tblStellplatz[Stellplatz],0)),5),RIGHT(INDEX(tblStellplatz[SAP],MATCH(PlanLayout!D3,tblStellplatz[Stellplatz],0)),4))),"?"))</f>
        <v/>
      </c>
      <c r="E3" s="4">
        <f>IF(PlanLayout!E3="","",PlanLayout!E3&amp;CHAR(10)&amp;IFERROR(IF(INDEX(tblStellplatz[SAP],MATCH(PlanLayout!E3,tblStellplatz[Stellplatz],0))="","leer",IF(LEFT(RIGHT(INDEX(tblStellplatz[SAP],MATCH(PlanLayout!E3,tblStellplatz[Stellplatz],0)),4),1)="0",RIGHT(INDEX(tblStellplatz[SAP],MATCH(PlanLayout!E3,tblStellplatz[Stellplatz],0)),5),RIGHT(INDEX(tblStellplatz[SAP],MATCH(PlanLayout!E3,tblStellplatz[Stellplatz],0)),4))),"?"))</f>
        <v/>
      </c>
      <c r="F3" s="4">
        <f>IF(PlanLayout!F3="","",PlanLayout!F3&amp;CHAR(10)&amp;IFERROR(IF(INDEX(tblStellplatz[SAP],MATCH(PlanLayout!F3,tblStellplatz[Stellplatz],0))="","leer",IF(LEFT(RIGHT(INDEX(tblStellplatz[SAP],MATCH(PlanLayout!F3,tblStellplatz[Stellplatz],0)),4),1)="0",RIGHT(INDEX(tblStellplatz[SAP],MATCH(PlanLayout!F3,tblStellplatz[Stellplatz],0)),5),RIGHT(INDEX(tblStellplatz[SAP],MATCH(PlanLayout!F3,tblStellplatz[Stellplatz],0)),4))),"?"))</f>
        <v/>
      </c>
      <c r="G3" s="4">
        <f>IF(PlanLayout!G3="","",PlanLayout!G3&amp;CHAR(10)&amp;IFERROR(IF(INDEX(tblStellplatz[SAP],MATCH(PlanLayout!G3,tblStellplatz[Stellplatz],0))="","leer",IF(LEFT(RIGHT(INDEX(tblStellplatz[SAP],MATCH(PlanLayout!G3,tblStellplatz[Stellplatz],0)),4),1)="0",RIGHT(INDEX(tblStellplatz[SAP],MATCH(PlanLayout!G3,tblStellplatz[Stellplatz],0)),5),RIGHT(INDEX(tblStellplatz[SAP],MATCH(PlanLayout!G3,tblStellplatz[Stellplatz],0)),4))),"?"))</f>
        <v/>
      </c>
      <c r="H3" s="4">
        <f>IF(PlanLayout!H3="","",PlanLayout!H3&amp;CHAR(10)&amp;IFERROR(IF(INDEX(tblStellplatz[SAP],MATCH(PlanLayout!H3,tblStellplatz[Stellplatz],0))="","leer",IF(LEFT(RIGHT(INDEX(tblStellplatz[SAP],MATCH(PlanLayout!H3,tblStellplatz[Stellplatz],0)),4),1)="0",RIGHT(INDEX(tblStellplatz[SAP],MATCH(PlanLayout!H3,tblStellplatz[Stellplatz],0)),5),RIGHT(INDEX(tblStellplatz[SAP],MATCH(PlanLayout!H3,tblStellplatz[Stellplatz],0)),4))),"?"))</f>
        <v/>
      </c>
      <c r="I3" s="4">
        <f>IF(PlanLayout!I3="","",PlanLayout!I3&amp;CHAR(10)&amp;IFERROR(IF(INDEX(tblStellplatz[SAP],MATCH(PlanLayout!I3,tblStellplatz[Stellplatz],0))="","leer",IF(LEFT(RIGHT(INDEX(tblStellplatz[SAP],MATCH(PlanLayout!I3,tblStellplatz[Stellplatz],0)),4),1)="0",RIGHT(INDEX(tblStellplatz[SAP],MATCH(PlanLayout!I3,tblStellplatz[Stellplatz],0)),5),RIGHT(INDEX(tblStellplatz[SAP],MATCH(PlanLayout!I3,tblStellplatz[Stellplatz],0)),4))),"?"))</f>
        <v/>
      </c>
      <c r="J3" s="4">
        <f>IF(PlanLayout!J3="","",PlanLayout!J3&amp;CHAR(10)&amp;IFERROR(IF(INDEX(tblStellplatz[SAP],MATCH(PlanLayout!J3,tblStellplatz[Stellplatz],0))="","leer",IF(LEFT(RIGHT(INDEX(tblStellplatz[SAP],MATCH(PlanLayout!J3,tblStellplatz[Stellplatz],0)),4),1)="0",RIGHT(INDEX(tblStellplatz[SAP],MATCH(PlanLayout!J3,tblStellplatz[Stellplatz],0)),5),RIGHT(INDEX(tblStellplatz[SAP],MATCH(PlanLayout!J3,tblStellplatz[Stellplatz],0)),4))),"?"))</f>
        <v/>
      </c>
      <c r="K3" s="4">
        <f>IF(PlanLayout!K3="","",PlanLayout!K3&amp;CHAR(10)&amp;IFERROR(IF(INDEX(tblStellplatz[SAP],MATCH(PlanLayout!K3,tblStellplatz[Stellplatz],0))="","leer",IF(LEFT(RIGHT(INDEX(tblStellplatz[SAP],MATCH(PlanLayout!K3,tblStellplatz[Stellplatz],0)),4),1)="0",RIGHT(INDEX(tblStellplatz[SAP],MATCH(PlanLayout!K3,tblStellplatz[Stellplatz],0)),5),RIGHT(INDEX(tblStellplatz[SAP],MATCH(PlanLayout!K3,tblStellplatz[Stellplatz],0)),4))),"?"))</f>
        <v/>
      </c>
      <c r="L3" s="4">
        <f>IF(PlanLayout!L3="","",PlanLayout!L3&amp;CHAR(10)&amp;IFERROR(IF(INDEX(tblStellplatz[SAP],MATCH(PlanLayout!L3,tblStellplatz[Stellplatz],0))="","leer",IF(LEFT(RIGHT(INDEX(tblStellplatz[SAP],MATCH(PlanLayout!L3,tblStellplatz[Stellplatz],0)),4),1)="0",RIGHT(INDEX(tblStellplatz[SAP],MATCH(PlanLayout!L3,tblStellplatz[Stellplatz],0)),5),RIGHT(INDEX(tblStellplatz[SAP],MATCH(PlanLayout!L3,tblStellplatz[Stellplatz],0)),4))),"?"))</f>
        <v/>
      </c>
      <c r="M3" s="4">
        <f>IF(PlanLayout!M3="","",PlanLayout!M3&amp;CHAR(10)&amp;IFERROR(IF(INDEX(tblStellplatz[SAP],MATCH(PlanLayout!M3,tblStellplatz[Stellplatz],0))="","leer",IF(LEFT(RIGHT(INDEX(tblStellplatz[SAP],MATCH(PlanLayout!M3,tblStellplatz[Stellplatz],0)),4),1)="0",RIGHT(INDEX(tblStellplatz[SAP],MATCH(PlanLayout!M3,tblStellplatz[Stellplatz],0)),5),RIGHT(INDEX(tblStellplatz[SAP],MATCH(PlanLayout!M3,tblStellplatz[Stellplatz],0)),4))),"?"))</f>
        <v/>
      </c>
      <c r="N3" s="4">
        <f>IF(PlanLayout!N3="","",PlanLayout!N3&amp;CHAR(10)&amp;IFERROR(IF(INDEX(tblStellplatz[SAP],MATCH(PlanLayout!N3,tblStellplatz[Stellplatz],0))="","leer",IF(LEFT(RIGHT(INDEX(tblStellplatz[SAP],MATCH(PlanLayout!N3,tblStellplatz[Stellplatz],0)),4),1)="0",RIGHT(INDEX(tblStellplatz[SAP],MATCH(PlanLayout!N3,tblStellplatz[Stellplatz],0)),5),RIGHT(INDEX(tblStellplatz[SAP],MATCH(PlanLayout!N3,tblStellplatz[Stellplatz],0)),4))),"?"))</f>
        <v/>
      </c>
      <c r="O3" s="4">
        <f>IF(PlanLayout!O3="","",PlanLayout!O3&amp;CHAR(10)&amp;IFERROR(IF(INDEX(tblStellplatz[SAP],MATCH(PlanLayout!O3,tblStellplatz[Stellplatz],0))="","leer",IF(LEFT(RIGHT(INDEX(tblStellplatz[SAP],MATCH(PlanLayout!O3,tblStellplatz[Stellplatz],0)),4),1)="0",RIGHT(INDEX(tblStellplatz[SAP],MATCH(PlanLayout!O3,tblStellplatz[Stellplatz],0)),5),RIGHT(INDEX(tblStellplatz[SAP],MATCH(PlanLayout!O3,tblStellplatz[Stellplatz],0)),4))),"?"))</f>
        <v/>
      </c>
      <c r="P3" s="4">
        <f>IF(PlanLayout!P3="","",PlanLayout!P3&amp;CHAR(10)&amp;IFERROR(IF(INDEX(tblStellplatz[SAP],MATCH(PlanLayout!P3,tblStellplatz[Stellplatz],0))="","leer",IF(LEFT(RIGHT(INDEX(tblStellplatz[SAP],MATCH(PlanLayout!P3,tblStellplatz[Stellplatz],0)),4),1)="0",RIGHT(INDEX(tblStellplatz[SAP],MATCH(PlanLayout!P3,tblStellplatz[Stellplatz],0)),5),RIGHT(INDEX(tblStellplatz[SAP],MATCH(PlanLayout!P3,tblStellplatz[Stellplatz],0)),4))),"?"))</f>
        <v/>
      </c>
      <c r="Q3" s="4">
        <f>IF(PlanLayout!Q3="","",PlanLayout!Q3&amp;CHAR(10)&amp;IFERROR(IF(INDEX(tblStellplatz[SAP],MATCH(PlanLayout!Q3,tblStellplatz[Stellplatz],0))="","leer",IF(LEFT(RIGHT(INDEX(tblStellplatz[SAP],MATCH(PlanLayout!Q3,tblStellplatz[Stellplatz],0)),4),1)="0",RIGHT(INDEX(tblStellplatz[SAP],MATCH(PlanLayout!Q3,tblStellplatz[Stellplatz],0)),5),RIGHT(INDEX(tblStellplatz[SAP],MATCH(PlanLayout!Q3,tblStellplatz[Stellplatz],0)),4))),"?"))</f>
        <v/>
      </c>
      <c r="R3" s="4">
        <f>IF(PlanLayout!R3="","",PlanLayout!R3&amp;CHAR(10)&amp;IFERROR(IF(INDEX(tblStellplatz[SAP],MATCH(PlanLayout!R3,tblStellplatz[Stellplatz],0))="","leer",IF(LEFT(RIGHT(INDEX(tblStellplatz[SAP],MATCH(PlanLayout!R3,tblStellplatz[Stellplatz],0)),4),1)="0",RIGHT(INDEX(tblStellplatz[SAP],MATCH(PlanLayout!R3,tblStellplatz[Stellplatz],0)),5),RIGHT(INDEX(tblStellplatz[SAP],MATCH(PlanLayout!R3,tblStellplatz[Stellplatz],0)),4))),"?"))</f>
        <v/>
      </c>
      <c r="S3" s="4">
        <f>IF(PlanLayout!S3="","",PlanLayout!S3&amp;CHAR(10)&amp;IFERROR(IF(INDEX(tblStellplatz[SAP],MATCH(PlanLayout!S3,tblStellplatz[Stellplatz],0))="","leer",IF(LEFT(RIGHT(INDEX(tblStellplatz[SAP],MATCH(PlanLayout!S3,tblStellplatz[Stellplatz],0)),4),1)="0",RIGHT(INDEX(tblStellplatz[SAP],MATCH(PlanLayout!S3,tblStellplatz[Stellplatz],0)),5),RIGHT(INDEX(tblStellplatz[SAP],MATCH(PlanLayout!S3,tblStellplatz[Stellplatz],0)),4))),"?"))</f>
        <v/>
      </c>
      <c r="T3" s="4">
        <f>IF(PlanLayout!T3="","",PlanLayout!T3&amp;CHAR(10)&amp;IFERROR(IF(INDEX(tblStellplatz[SAP],MATCH(PlanLayout!T3,tblStellplatz[Stellplatz],0))="","leer",IF(LEFT(RIGHT(INDEX(tblStellplatz[SAP],MATCH(PlanLayout!T3,tblStellplatz[Stellplatz],0)),4),1)="0",RIGHT(INDEX(tblStellplatz[SAP],MATCH(PlanLayout!T3,tblStellplatz[Stellplatz],0)),5),RIGHT(INDEX(tblStellplatz[SAP],MATCH(PlanLayout!T3,tblStellplatz[Stellplatz],0)),4))),"?"))</f>
        <v/>
      </c>
      <c r="U3" s="4">
        <f>IF(PlanLayout!U3="","",PlanLayout!U3&amp;CHAR(10)&amp;IFERROR(IF(INDEX(tblStellplatz[SAP],MATCH(PlanLayout!U3,tblStellplatz[Stellplatz],0))="","leer",IF(LEFT(RIGHT(INDEX(tblStellplatz[SAP],MATCH(PlanLayout!U3,tblStellplatz[Stellplatz],0)),4),1)="0",RIGHT(INDEX(tblStellplatz[SAP],MATCH(PlanLayout!U3,tblStellplatz[Stellplatz],0)),5),RIGHT(INDEX(tblStellplatz[SAP],MATCH(PlanLayout!U3,tblStellplatz[Stellplatz],0)),4))),"?"))</f>
        <v/>
      </c>
      <c r="V3" s="4">
        <f>IF(PlanLayout!V3="","",PlanLayout!V3&amp;CHAR(10)&amp;IFERROR(IF(INDEX(tblStellplatz[SAP],MATCH(PlanLayout!V3,tblStellplatz[Stellplatz],0))="","leer",IF(LEFT(RIGHT(INDEX(tblStellplatz[SAP],MATCH(PlanLayout!V3,tblStellplatz[Stellplatz],0)),4),1)="0",RIGHT(INDEX(tblStellplatz[SAP],MATCH(PlanLayout!V3,tblStellplatz[Stellplatz],0)),5),RIGHT(INDEX(tblStellplatz[SAP],MATCH(PlanLayout!V3,tblStellplatz[Stellplatz],0)),4))),"?"))</f>
        <v/>
      </c>
      <c r="W3" s="4">
        <f>IF(PlanLayout!W3="","",PlanLayout!W3&amp;CHAR(10)&amp;IFERROR(IF(INDEX(tblStellplatz[SAP],MATCH(PlanLayout!W3,tblStellplatz[Stellplatz],0))="","leer",IF(LEFT(RIGHT(INDEX(tblStellplatz[SAP],MATCH(PlanLayout!W3,tblStellplatz[Stellplatz],0)),4),1)="0",RIGHT(INDEX(tblStellplatz[SAP],MATCH(PlanLayout!W3,tblStellplatz[Stellplatz],0)),5),RIGHT(INDEX(tblStellplatz[SAP],MATCH(PlanLayout!W3,tblStellplatz[Stellplatz],0)),4))),"?"))</f>
        <v/>
      </c>
      <c r="X3" s="4">
        <f>IF(PlanLayout!X3="","",PlanLayout!X3&amp;CHAR(10)&amp;IFERROR(IF(INDEX(tblStellplatz[SAP],MATCH(PlanLayout!X3,tblStellplatz[Stellplatz],0))="","leer",IF(LEFT(RIGHT(INDEX(tblStellplatz[SAP],MATCH(PlanLayout!X3,tblStellplatz[Stellplatz],0)),4),1)="0",RIGHT(INDEX(tblStellplatz[SAP],MATCH(PlanLayout!X3,tblStellplatz[Stellplatz],0)),5),RIGHT(INDEX(tblStellplatz[SAP],MATCH(PlanLayout!X3,tblStellplatz[Stellplatz],0)),4))),"?"))</f>
        <v/>
      </c>
      <c r="Y3" s="4">
        <f>IF(PlanLayout!Y3="","",PlanLayout!Y3&amp;CHAR(10)&amp;IFERROR(IF(INDEX(tblStellplatz[SAP],MATCH(PlanLayout!Y3,tblStellplatz[Stellplatz],0))="","leer",IF(LEFT(RIGHT(INDEX(tblStellplatz[SAP],MATCH(PlanLayout!Y3,tblStellplatz[Stellplatz],0)),4),1)="0",RIGHT(INDEX(tblStellplatz[SAP],MATCH(PlanLayout!Y3,tblStellplatz[Stellplatz],0)),5),RIGHT(INDEX(tblStellplatz[SAP],MATCH(PlanLayout!Y3,tblStellplatz[Stellplatz],0)),4))),"?"))</f>
        <v/>
      </c>
      <c r="Z3" s="4">
        <f>IF(PlanLayout!Z3="","",PlanLayout!Z3&amp;CHAR(10)&amp;IFERROR(IF(INDEX(tblStellplatz[SAP],MATCH(PlanLayout!Z3,tblStellplatz[Stellplatz],0))="","leer",IF(LEFT(RIGHT(INDEX(tblStellplatz[SAP],MATCH(PlanLayout!Z3,tblStellplatz[Stellplatz],0)),4),1)="0",RIGHT(INDEX(tblStellplatz[SAP],MATCH(PlanLayout!Z3,tblStellplatz[Stellplatz],0)),5),RIGHT(INDEX(tblStellplatz[SAP],MATCH(PlanLayout!Z3,tblStellplatz[Stellplatz],0)),4))),"?"))</f>
        <v/>
      </c>
      <c r="AA3" s="4">
        <f>IF(PlanLayout!AA3="","",PlanLayout!AA3&amp;CHAR(10)&amp;IFERROR(IF(INDEX(tblStellplatz[SAP],MATCH(PlanLayout!AA3,tblStellplatz[Stellplatz],0))="","leer",IF(LEFT(RIGHT(INDEX(tblStellplatz[SAP],MATCH(PlanLayout!AA3,tblStellplatz[Stellplatz],0)),4),1)="0",RIGHT(INDEX(tblStellplatz[SAP],MATCH(PlanLayout!AA3,tblStellplatz[Stellplatz],0)),5),RIGHT(INDEX(tblStellplatz[SAP],MATCH(PlanLayout!AA3,tblStellplatz[Stellplatz],0)),4))),"?"))</f>
        <v/>
      </c>
      <c r="AB3" s="4">
        <f>IF(PlanLayout!AB3="","",PlanLayout!AB3&amp;CHAR(10)&amp;IFERROR(IF(INDEX(tblStellplatz[SAP],MATCH(PlanLayout!AB3,tblStellplatz[Stellplatz],0))="","leer",IF(LEFT(RIGHT(INDEX(tblStellplatz[SAP],MATCH(PlanLayout!AB3,tblStellplatz[Stellplatz],0)),4),1)="0",RIGHT(INDEX(tblStellplatz[SAP],MATCH(PlanLayout!AB3,tblStellplatz[Stellplatz],0)),5),RIGHT(INDEX(tblStellplatz[SAP],MATCH(PlanLayout!AB3,tblStellplatz[Stellplatz],0)),4))),"?"))</f>
        <v/>
      </c>
      <c r="AC3" s="4">
        <f>IF(PlanLayout!AC3="","",PlanLayout!AC3&amp;CHAR(10)&amp;IFERROR(IF(INDEX(tblStellplatz[SAP],MATCH(PlanLayout!AC3,tblStellplatz[Stellplatz],0))="","leer",IF(LEFT(RIGHT(INDEX(tblStellplatz[SAP],MATCH(PlanLayout!AC3,tblStellplatz[Stellplatz],0)),4),1)="0",RIGHT(INDEX(tblStellplatz[SAP],MATCH(PlanLayout!AC3,tblStellplatz[Stellplatz],0)),5),RIGHT(INDEX(tblStellplatz[SAP],MATCH(PlanLayout!AC3,tblStellplatz[Stellplatz],0)),4))),"?"))</f>
        <v/>
      </c>
      <c r="AD3" s="4">
        <f>IF(PlanLayout!AD3="","",PlanLayout!AD3&amp;CHAR(10)&amp;IFERROR(IF(INDEX(tblStellplatz[SAP],MATCH(PlanLayout!AD3,tblStellplatz[Stellplatz],0))="","leer",IF(LEFT(RIGHT(INDEX(tblStellplatz[SAP],MATCH(PlanLayout!AD3,tblStellplatz[Stellplatz],0)),4),1)="0",RIGHT(INDEX(tblStellplatz[SAP],MATCH(PlanLayout!AD3,tblStellplatz[Stellplatz],0)),5),RIGHT(INDEX(tblStellplatz[SAP],MATCH(PlanLayout!AD3,tblStellplatz[Stellplatz],0)),4))),"?"))</f>
        <v/>
      </c>
      <c r="AE3" s="4">
        <f>IF(PlanLayout!AE3="","",PlanLayout!AE3&amp;CHAR(10)&amp;IFERROR(IF(INDEX(tblStellplatz[SAP],MATCH(PlanLayout!AE3,tblStellplatz[Stellplatz],0))="","leer",IF(LEFT(RIGHT(INDEX(tblStellplatz[SAP],MATCH(PlanLayout!AE3,tblStellplatz[Stellplatz],0)),4),1)="0",RIGHT(INDEX(tblStellplatz[SAP],MATCH(PlanLayout!AE3,tblStellplatz[Stellplatz],0)),5),RIGHT(INDEX(tblStellplatz[SAP],MATCH(PlanLayout!AE3,tblStellplatz[Stellplatz],0)),4))),"?"))</f>
        <v/>
      </c>
      <c r="AF3" s="4">
        <f>IF(PlanLayout!AF3="","",PlanLayout!AF3&amp;CHAR(10)&amp;IFERROR(IF(INDEX(tblStellplatz[SAP],MATCH(PlanLayout!AF3,tblStellplatz[Stellplatz],0))="","leer",IF(LEFT(RIGHT(INDEX(tblStellplatz[SAP],MATCH(PlanLayout!AF3,tblStellplatz[Stellplatz],0)),4),1)="0",RIGHT(INDEX(tblStellplatz[SAP],MATCH(PlanLayout!AF3,tblStellplatz[Stellplatz],0)),5),RIGHT(INDEX(tblStellplatz[SAP],MATCH(PlanLayout!AF3,tblStellplatz[Stellplatz],0)),4))),"?"))</f>
        <v/>
      </c>
      <c r="AG3" s="4">
        <f>IF(PlanLayout!AG3="","",PlanLayout!AG3&amp;CHAR(10)&amp;IFERROR(IF(INDEX(tblStellplatz[SAP],MATCH(PlanLayout!AG3,tblStellplatz[Stellplatz],0))="","leer",IF(LEFT(RIGHT(INDEX(tblStellplatz[SAP],MATCH(PlanLayout!AG3,tblStellplatz[Stellplatz],0)),4),1)="0",RIGHT(INDEX(tblStellplatz[SAP],MATCH(PlanLayout!AG3,tblStellplatz[Stellplatz],0)),5),RIGHT(INDEX(tblStellplatz[SAP],MATCH(PlanLayout!AG3,tblStellplatz[Stellplatz],0)),4))),"?"))</f>
        <v/>
      </c>
      <c r="AH3" s="4">
        <f>IF(PlanLayout!AH3="","",PlanLayout!AH3&amp;CHAR(10)&amp;IFERROR(IF(INDEX(tblStellplatz[SAP],MATCH(PlanLayout!AH3,tblStellplatz[Stellplatz],0))="","leer",IF(LEFT(RIGHT(INDEX(tblStellplatz[SAP],MATCH(PlanLayout!AH3,tblStellplatz[Stellplatz],0)),4),1)="0",RIGHT(INDEX(tblStellplatz[SAP],MATCH(PlanLayout!AH3,tblStellplatz[Stellplatz],0)),5),RIGHT(INDEX(tblStellplatz[SAP],MATCH(PlanLayout!AH3,tblStellplatz[Stellplatz],0)),4))),"?"))</f>
        <v/>
      </c>
      <c r="AI3" s="4">
        <f>IF(PlanLayout!AI3="","",PlanLayout!AI3&amp;CHAR(10)&amp;IFERROR(IF(INDEX(tblStellplatz[SAP],MATCH(PlanLayout!AI3,tblStellplatz[Stellplatz],0))="","leer",IF(LEFT(RIGHT(INDEX(tblStellplatz[SAP],MATCH(PlanLayout!AI3,tblStellplatz[Stellplatz],0)),4),1)="0",RIGHT(INDEX(tblStellplatz[SAP],MATCH(PlanLayout!AI3,tblStellplatz[Stellplatz],0)),5),RIGHT(INDEX(tblStellplatz[SAP],MATCH(PlanLayout!AI3,tblStellplatz[Stellplatz],0)),4))),"?"))</f>
        <v/>
      </c>
      <c r="AJ3" s="4">
        <f>IF(PlanLayout!AJ3="","",PlanLayout!AJ3&amp;CHAR(10)&amp;IFERROR(IF(INDEX(tblStellplatz[SAP],MATCH(PlanLayout!AJ3,tblStellplatz[Stellplatz],0))="","leer",IF(LEFT(RIGHT(INDEX(tblStellplatz[SAP],MATCH(PlanLayout!AJ3,tblStellplatz[Stellplatz],0)),4),1)="0",RIGHT(INDEX(tblStellplatz[SAP],MATCH(PlanLayout!AJ3,tblStellplatz[Stellplatz],0)),5),RIGHT(INDEX(tblStellplatz[SAP],MATCH(PlanLayout!AJ3,tblStellplatz[Stellplatz],0)),4))),"?"))</f>
        <v/>
      </c>
      <c r="AK3" s="4">
        <f>IF(PlanLayout!AK3="","",PlanLayout!AK3&amp;CHAR(10)&amp;IFERROR(IF(INDEX(tblStellplatz[SAP],MATCH(PlanLayout!AK3,tblStellplatz[Stellplatz],0))="","leer",IF(LEFT(RIGHT(INDEX(tblStellplatz[SAP],MATCH(PlanLayout!AK3,tblStellplatz[Stellplatz],0)),4),1)="0",RIGHT(INDEX(tblStellplatz[SAP],MATCH(PlanLayout!AK3,tblStellplatz[Stellplatz],0)),5),RIGHT(INDEX(tblStellplatz[SAP],MATCH(PlanLayout!AK3,tblStellplatz[Stellplatz],0)),4))),"?"))</f>
        <v/>
      </c>
      <c r="AL3" s="4">
        <f>IF(PlanLayout!AL3="","",PlanLayout!AL3&amp;CHAR(10)&amp;IFERROR(IF(INDEX(tblStellplatz[SAP],MATCH(PlanLayout!AL3,tblStellplatz[Stellplatz],0))="","leer",IF(LEFT(RIGHT(INDEX(tblStellplatz[SAP],MATCH(PlanLayout!AL3,tblStellplatz[Stellplatz],0)),4),1)="0",RIGHT(INDEX(tblStellplatz[SAP],MATCH(PlanLayout!AL3,tblStellplatz[Stellplatz],0)),5),RIGHT(INDEX(tblStellplatz[SAP],MATCH(PlanLayout!AL3,tblStellplatz[Stellplatz],0)),4))),"?"))</f>
        <v/>
      </c>
      <c r="AM3" s="4">
        <f>IF(PlanLayout!AM3="","",PlanLayout!AM3&amp;CHAR(10)&amp;IFERROR(IF(INDEX(tblStellplatz[SAP],MATCH(PlanLayout!AM3,tblStellplatz[Stellplatz],0))="","leer",IF(LEFT(RIGHT(INDEX(tblStellplatz[SAP],MATCH(PlanLayout!AM3,tblStellplatz[Stellplatz],0)),4),1)="0",RIGHT(INDEX(tblStellplatz[SAP],MATCH(PlanLayout!AM3,tblStellplatz[Stellplatz],0)),5),RIGHT(INDEX(tblStellplatz[SAP],MATCH(PlanLayout!AM3,tblStellplatz[Stellplatz],0)),4))),"?"))</f>
        <v/>
      </c>
      <c r="AN3" s="4">
        <f>IF(PlanLayout!AN3="","",PlanLayout!AN3&amp;CHAR(10)&amp;IFERROR(IF(INDEX(tblStellplatz[SAP],MATCH(PlanLayout!AN3,tblStellplatz[Stellplatz],0))="","leer",IF(LEFT(RIGHT(INDEX(tblStellplatz[SAP],MATCH(PlanLayout!AN3,tblStellplatz[Stellplatz],0)),4),1)="0",RIGHT(INDEX(tblStellplatz[SAP],MATCH(PlanLayout!AN3,tblStellplatz[Stellplatz],0)),5),RIGHT(INDEX(tblStellplatz[SAP],MATCH(PlanLayout!AN3,tblStellplatz[Stellplatz],0)),4))),"?"))</f>
        <v/>
      </c>
      <c r="AO3" s="4">
        <f>IF(PlanLayout!AO3="","",PlanLayout!AO3&amp;CHAR(10)&amp;IFERROR(IF(INDEX(tblStellplatz[SAP],MATCH(PlanLayout!AO3,tblStellplatz[Stellplatz],0))="","leer",IF(LEFT(RIGHT(INDEX(tblStellplatz[SAP],MATCH(PlanLayout!AO3,tblStellplatz[Stellplatz],0)),4),1)="0",RIGHT(INDEX(tblStellplatz[SAP],MATCH(PlanLayout!AO3,tblStellplatz[Stellplatz],0)),5),RIGHT(INDEX(tblStellplatz[SAP],MATCH(PlanLayout!AO3,tblStellplatz[Stellplatz],0)),4))),"?"))</f>
        <v/>
      </c>
    </row>
    <row r="4" ht="30" customHeight="1">
      <c r="B4" s="4">
        <f>IF(PlanLayout!B4="","",PlanLayout!B4&amp;CHAR(10)&amp;IFERROR(IF(INDEX(tblStellplatz[SAP],MATCH(PlanLayout!B4,tblStellplatz[Stellplatz],0))="","leer",IF(LEFT(RIGHT(INDEX(tblStellplatz[SAP],MATCH(PlanLayout!B4,tblStellplatz[Stellplatz],0)),4),1)="0",RIGHT(INDEX(tblStellplatz[SAP],MATCH(PlanLayout!B4,tblStellplatz[Stellplatz],0)),5),RIGHT(INDEX(tblStellplatz[SAP],MATCH(PlanLayout!B4,tblStellplatz[Stellplatz],0)),4))),"?"))</f>
        <v/>
      </c>
      <c r="C4" s="4">
        <f>IF(PlanLayout!C4="","",PlanLayout!C4&amp;CHAR(10)&amp;IFERROR(IF(INDEX(tblStellplatz[SAP],MATCH(PlanLayout!C4,tblStellplatz[Stellplatz],0))="","leer",IF(LEFT(RIGHT(INDEX(tblStellplatz[SAP],MATCH(PlanLayout!C4,tblStellplatz[Stellplatz],0)),4),1)="0",RIGHT(INDEX(tblStellplatz[SAP],MATCH(PlanLayout!C4,tblStellplatz[Stellplatz],0)),5),RIGHT(INDEX(tblStellplatz[SAP],MATCH(PlanLayout!C4,tblStellplatz[Stellplatz],0)),4))),"?"))</f>
        <v/>
      </c>
      <c r="D4" s="4">
        <f>IF(PlanLayout!D4="","",PlanLayout!D4&amp;CHAR(10)&amp;IFERROR(IF(INDEX(tblStellplatz[SAP],MATCH(PlanLayout!D4,tblStellplatz[Stellplatz],0))="","leer",IF(LEFT(RIGHT(INDEX(tblStellplatz[SAP],MATCH(PlanLayout!D4,tblStellplatz[Stellplatz],0)),4),1)="0",RIGHT(INDEX(tblStellplatz[SAP],MATCH(PlanLayout!D4,tblStellplatz[Stellplatz],0)),5),RIGHT(INDEX(tblStellplatz[SAP],MATCH(PlanLayout!D4,tblStellplatz[Stellplatz],0)),4))),"?"))</f>
        <v/>
      </c>
      <c r="E4" s="4">
        <f>IF(PlanLayout!E4="","",PlanLayout!E4&amp;CHAR(10)&amp;IFERROR(IF(INDEX(tblStellplatz[SAP],MATCH(PlanLayout!E4,tblStellplatz[Stellplatz],0))="","leer",IF(LEFT(RIGHT(INDEX(tblStellplatz[SAP],MATCH(PlanLayout!E4,tblStellplatz[Stellplatz],0)),4),1)="0",RIGHT(INDEX(tblStellplatz[SAP],MATCH(PlanLayout!E4,tblStellplatz[Stellplatz],0)),5),RIGHT(INDEX(tblStellplatz[SAP],MATCH(PlanLayout!E4,tblStellplatz[Stellplatz],0)),4))),"?"))</f>
        <v/>
      </c>
      <c r="F4" s="4">
        <f>IF(PlanLayout!F4="","",PlanLayout!F4&amp;CHAR(10)&amp;IFERROR(IF(INDEX(tblStellplatz[SAP],MATCH(PlanLayout!F4,tblStellplatz[Stellplatz],0))="","leer",IF(LEFT(RIGHT(INDEX(tblStellplatz[SAP],MATCH(PlanLayout!F4,tblStellplatz[Stellplatz],0)),4),1)="0",RIGHT(INDEX(tblStellplatz[SAP],MATCH(PlanLayout!F4,tblStellplatz[Stellplatz],0)),5),RIGHT(INDEX(tblStellplatz[SAP],MATCH(PlanLayout!F4,tblStellplatz[Stellplatz],0)),4))),"?"))</f>
        <v/>
      </c>
      <c r="G4" s="4">
        <f>IF(PlanLayout!G4="","",PlanLayout!G4&amp;CHAR(10)&amp;IFERROR(IF(INDEX(tblStellplatz[SAP],MATCH(PlanLayout!G4,tblStellplatz[Stellplatz],0))="","leer",IF(LEFT(RIGHT(INDEX(tblStellplatz[SAP],MATCH(PlanLayout!G4,tblStellplatz[Stellplatz],0)),4),1)="0",RIGHT(INDEX(tblStellplatz[SAP],MATCH(PlanLayout!G4,tblStellplatz[Stellplatz],0)),5),RIGHT(INDEX(tblStellplatz[SAP],MATCH(PlanLayout!G4,tblStellplatz[Stellplatz],0)),4))),"?"))</f>
        <v/>
      </c>
      <c r="H4" s="4">
        <f>IF(PlanLayout!H4="","",PlanLayout!H4&amp;CHAR(10)&amp;IFERROR(IF(INDEX(tblStellplatz[SAP],MATCH(PlanLayout!H4,tblStellplatz[Stellplatz],0))="","leer",IF(LEFT(RIGHT(INDEX(tblStellplatz[SAP],MATCH(PlanLayout!H4,tblStellplatz[Stellplatz],0)),4),1)="0",RIGHT(INDEX(tblStellplatz[SAP],MATCH(PlanLayout!H4,tblStellplatz[Stellplatz],0)),5),RIGHT(INDEX(tblStellplatz[SAP],MATCH(PlanLayout!H4,tblStellplatz[Stellplatz],0)),4))),"?"))</f>
        <v/>
      </c>
      <c r="I4" s="4">
        <f>IF(PlanLayout!I4="","",PlanLayout!I4&amp;CHAR(10)&amp;IFERROR(IF(INDEX(tblStellplatz[SAP],MATCH(PlanLayout!I4,tblStellplatz[Stellplatz],0))="","leer",IF(LEFT(RIGHT(INDEX(tblStellplatz[SAP],MATCH(PlanLayout!I4,tblStellplatz[Stellplatz],0)),4),1)="0",RIGHT(INDEX(tblStellplatz[SAP],MATCH(PlanLayout!I4,tblStellplatz[Stellplatz],0)),5),RIGHT(INDEX(tblStellplatz[SAP],MATCH(PlanLayout!I4,tblStellplatz[Stellplatz],0)),4))),"?"))</f>
        <v/>
      </c>
      <c r="J4" s="4">
        <f>IF(PlanLayout!J4="","",PlanLayout!J4&amp;CHAR(10)&amp;IFERROR(IF(INDEX(tblStellplatz[SAP],MATCH(PlanLayout!J4,tblStellplatz[Stellplatz],0))="","leer",IF(LEFT(RIGHT(INDEX(tblStellplatz[SAP],MATCH(PlanLayout!J4,tblStellplatz[Stellplatz],0)),4),1)="0",RIGHT(INDEX(tblStellplatz[SAP],MATCH(PlanLayout!J4,tblStellplatz[Stellplatz],0)),5),RIGHT(INDEX(tblStellplatz[SAP],MATCH(PlanLayout!J4,tblStellplatz[Stellplatz],0)),4))),"?"))</f>
        <v/>
      </c>
      <c r="K4" s="4">
        <f>IF(PlanLayout!K4="","",PlanLayout!K4&amp;CHAR(10)&amp;IFERROR(IF(INDEX(tblStellplatz[SAP],MATCH(PlanLayout!K4,tblStellplatz[Stellplatz],0))="","leer",IF(LEFT(RIGHT(INDEX(tblStellplatz[SAP],MATCH(PlanLayout!K4,tblStellplatz[Stellplatz],0)),4),1)="0",RIGHT(INDEX(tblStellplatz[SAP],MATCH(PlanLayout!K4,tblStellplatz[Stellplatz],0)),5),RIGHT(INDEX(tblStellplatz[SAP],MATCH(PlanLayout!K4,tblStellplatz[Stellplatz],0)),4))),"?"))</f>
        <v/>
      </c>
      <c r="L4" s="4">
        <f>IF(PlanLayout!L4="","",PlanLayout!L4&amp;CHAR(10)&amp;IFERROR(IF(INDEX(tblStellplatz[SAP],MATCH(PlanLayout!L4,tblStellplatz[Stellplatz],0))="","leer",IF(LEFT(RIGHT(INDEX(tblStellplatz[SAP],MATCH(PlanLayout!L4,tblStellplatz[Stellplatz],0)),4),1)="0",RIGHT(INDEX(tblStellplatz[SAP],MATCH(PlanLayout!L4,tblStellplatz[Stellplatz],0)),5),RIGHT(INDEX(tblStellplatz[SAP],MATCH(PlanLayout!L4,tblStellplatz[Stellplatz],0)),4))),"?"))</f>
        <v/>
      </c>
      <c r="M4" s="4">
        <f>IF(PlanLayout!M4="","",PlanLayout!M4&amp;CHAR(10)&amp;IFERROR(IF(INDEX(tblStellplatz[SAP],MATCH(PlanLayout!M4,tblStellplatz[Stellplatz],0))="","leer",IF(LEFT(RIGHT(INDEX(tblStellplatz[SAP],MATCH(PlanLayout!M4,tblStellplatz[Stellplatz],0)),4),1)="0",RIGHT(INDEX(tblStellplatz[SAP],MATCH(PlanLayout!M4,tblStellplatz[Stellplatz],0)),5),RIGHT(INDEX(tblStellplatz[SAP],MATCH(PlanLayout!M4,tblStellplatz[Stellplatz],0)),4))),"?"))</f>
        <v/>
      </c>
      <c r="N4" s="4">
        <f>IF(PlanLayout!N4="","",PlanLayout!N4&amp;CHAR(10)&amp;IFERROR(IF(INDEX(tblStellplatz[SAP],MATCH(PlanLayout!N4,tblStellplatz[Stellplatz],0))="","leer",IF(LEFT(RIGHT(INDEX(tblStellplatz[SAP],MATCH(PlanLayout!N4,tblStellplatz[Stellplatz],0)),4),1)="0",RIGHT(INDEX(tblStellplatz[SAP],MATCH(PlanLayout!N4,tblStellplatz[Stellplatz],0)),5),RIGHT(INDEX(tblStellplatz[SAP],MATCH(PlanLayout!N4,tblStellplatz[Stellplatz],0)),4))),"?"))</f>
        <v/>
      </c>
      <c r="O4" s="4">
        <f>IF(PlanLayout!O4="","",PlanLayout!O4&amp;CHAR(10)&amp;IFERROR(IF(INDEX(tblStellplatz[SAP],MATCH(PlanLayout!O4,tblStellplatz[Stellplatz],0))="","leer",IF(LEFT(RIGHT(INDEX(tblStellplatz[SAP],MATCH(PlanLayout!O4,tblStellplatz[Stellplatz],0)),4),1)="0",RIGHT(INDEX(tblStellplatz[SAP],MATCH(PlanLayout!O4,tblStellplatz[Stellplatz],0)),5),RIGHT(INDEX(tblStellplatz[SAP],MATCH(PlanLayout!O4,tblStellplatz[Stellplatz],0)),4))),"?"))</f>
        <v/>
      </c>
      <c r="P4" s="4">
        <f>IF(PlanLayout!P4="","",PlanLayout!P4&amp;CHAR(10)&amp;IFERROR(IF(INDEX(tblStellplatz[SAP],MATCH(PlanLayout!P4,tblStellplatz[Stellplatz],0))="","leer",IF(LEFT(RIGHT(INDEX(tblStellplatz[SAP],MATCH(PlanLayout!P4,tblStellplatz[Stellplatz],0)),4),1)="0",RIGHT(INDEX(tblStellplatz[SAP],MATCH(PlanLayout!P4,tblStellplatz[Stellplatz],0)),5),RIGHT(INDEX(tblStellplatz[SAP],MATCH(PlanLayout!P4,tblStellplatz[Stellplatz],0)),4))),"?"))</f>
        <v/>
      </c>
      <c r="Q4" s="4">
        <f>IF(PlanLayout!Q4="","",PlanLayout!Q4&amp;CHAR(10)&amp;IFERROR(IF(INDEX(tblStellplatz[SAP],MATCH(PlanLayout!Q4,tblStellplatz[Stellplatz],0))="","leer",IF(LEFT(RIGHT(INDEX(tblStellplatz[SAP],MATCH(PlanLayout!Q4,tblStellplatz[Stellplatz],0)),4),1)="0",RIGHT(INDEX(tblStellplatz[SAP],MATCH(PlanLayout!Q4,tblStellplatz[Stellplatz],0)),5),RIGHT(INDEX(tblStellplatz[SAP],MATCH(PlanLayout!Q4,tblStellplatz[Stellplatz],0)),4))),"?"))</f>
        <v/>
      </c>
      <c r="R4" s="4">
        <f>IF(PlanLayout!R4="","",PlanLayout!R4&amp;CHAR(10)&amp;IFERROR(IF(INDEX(tblStellplatz[SAP],MATCH(PlanLayout!R4,tblStellplatz[Stellplatz],0))="","leer",IF(LEFT(RIGHT(INDEX(tblStellplatz[SAP],MATCH(PlanLayout!R4,tblStellplatz[Stellplatz],0)),4),1)="0",RIGHT(INDEX(tblStellplatz[SAP],MATCH(PlanLayout!R4,tblStellplatz[Stellplatz],0)),5),RIGHT(INDEX(tblStellplatz[SAP],MATCH(PlanLayout!R4,tblStellplatz[Stellplatz],0)),4))),"?"))</f>
        <v/>
      </c>
      <c r="S4" s="4">
        <f>IF(PlanLayout!S4="","",PlanLayout!S4&amp;CHAR(10)&amp;IFERROR(IF(INDEX(tblStellplatz[SAP],MATCH(PlanLayout!S4,tblStellplatz[Stellplatz],0))="","leer",IF(LEFT(RIGHT(INDEX(tblStellplatz[SAP],MATCH(PlanLayout!S4,tblStellplatz[Stellplatz],0)),4),1)="0",RIGHT(INDEX(tblStellplatz[SAP],MATCH(PlanLayout!S4,tblStellplatz[Stellplatz],0)),5),RIGHT(INDEX(tblStellplatz[SAP],MATCH(PlanLayout!S4,tblStellplatz[Stellplatz],0)),4))),"?"))</f>
        <v/>
      </c>
      <c r="T4" s="4">
        <f>IF(PlanLayout!T4="","",PlanLayout!T4&amp;CHAR(10)&amp;IFERROR(IF(INDEX(tblStellplatz[SAP],MATCH(PlanLayout!T4,tblStellplatz[Stellplatz],0))="","leer",IF(LEFT(RIGHT(INDEX(tblStellplatz[SAP],MATCH(PlanLayout!T4,tblStellplatz[Stellplatz],0)),4),1)="0",RIGHT(INDEX(tblStellplatz[SAP],MATCH(PlanLayout!T4,tblStellplatz[Stellplatz],0)),5),RIGHT(INDEX(tblStellplatz[SAP],MATCH(PlanLayout!T4,tblStellplatz[Stellplatz],0)),4))),"?"))</f>
        <v/>
      </c>
      <c r="U4" s="4">
        <f>IF(PlanLayout!U4="","",PlanLayout!U4&amp;CHAR(10)&amp;IFERROR(IF(INDEX(tblStellplatz[SAP],MATCH(PlanLayout!U4,tblStellplatz[Stellplatz],0))="","leer",IF(LEFT(RIGHT(INDEX(tblStellplatz[SAP],MATCH(PlanLayout!U4,tblStellplatz[Stellplatz],0)),4),1)="0",RIGHT(INDEX(tblStellplatz[SAP],MATCH(PlanLayout!U4,tblStellplatz[Stellplatz],0)),5),RIGHT(INDEX(tblStellplatz[SAP],MATCH(PlanLayout!U4,tblStellplatz[Stellplatz],0)),4))),"?"))</f>
        <v/>
      </c>
      <c r="V4" s="4">
        <f>IF(PlanLayout!V4="","",PlanLayout!V4&amp;CHAR(10)&amp;IFERROR(IF(INDEX(tblStellplatz[SAP],MATCH(PlanLayout!V4,tblStellplatz[Stellplatz],0))="","leer",IF(LEFT(RIGHT(INDEX(tblStellplatz[SAP],MATCH(PlanLayout!V4,tblStellplatz[Stellplatz],0)),4),1)="0",RIGHT(INDEX(tblStellplatz[SAP],MATCH(PlanLayout!V4,tblStellplatz[Stellplatz],0)),5),RIGHT(INDEX(tblStellplatz[SAP],MATCH(PlanLayout!V4,tblStellplatz[Stellplatz],0)),4))),"?"))</f>
        <v/>
      </c>
      <c r="W4" s="4">
        <f>IF(PlanLayout!W4="","",PlanLayout!W4&amp;CHAR(10)&amp;IFERROR(IF(INDEX(tblStellplatz[SAP],MATCH(PlanLayout!W4,tblStellplatz[Stellplatz],0))="","leer",IF(LEFT(RIGHT(INDEX(tblStellplatz[SAP],MATCH(PlanLayout!W4,tblStellplatz[Stellplatz],0)),4),1)="0",RIGHT(INDEX(tblStellplatz[SAP],MATCH(PlanLayout!W4,tblStellplatz[Stellplatz],0)),5),RIGHT(INDEX(tblStellplatz[SAP],MATCH(PlanLayout!W4,tblStellplatz[Stellplatz],0)),4))),"?"))</f>
        <v/>
      </c>
      <c r="X4" s="4">
        <f>IF(PlanLayout!X4="","",PlanLayout!X4&amp;CHAR(10)&amp;IFERROR(IF(INDEX(tblStellplatz[SAP],MATCH(PlanLayout!X4,tblStellplatz[Stellplatz],0))="","leer",IF(LEFT(RIGHT(INDEX(tblStellplatz[SAP],MATCH(PlanLayout!X4,tblStellplatz[Stellplatz],0)),4),1)="0",RIGHT(INDEX(tblStellplatz[SAP],MATCH(PlanLayout!X4,tblStellplatz[Stellplatz],0)),5),RIGHT(INDEX(tblStellplatz[SAP],MATCH(PlanLayout!X4,tblStellplatz[Stellplatz],0)),4))),"?"))</f>
        <v/>
      </c>
      <c r="Y4" s="4">
        <f>IF(PlanLayout!Y4="","",PlanLayout!Y4&amp;CHAR(10)&amp;IFERROR(IF(INDEX(tblStellplatz[SAP],MATCH(PlanLayout!Y4,tblStellplatz[Stellplatz],0))="","leer",IF(LEFT(RIGHT(INDEX(tblStellplatz[SAP],MATCH(PlanLayout!Y4,tblStellplatz[Stellplatz],0)),4),1)="0",RIGHT(INDEX(tblStellplatz[SAP],MATCH(PlanLayout!Y4,tblStellplatz[Stellplatz],0)),5),RIGHT(INDEX(tblStellplatz[SAP],MATCH(PlanLayout!Y4,tblStellplatz[Stellplatz],0)),4))),"?"))</f>
        <v/>
      </c>
      <c r="Z4" s="4">
        <f>IF(PlanLayout!Z4="","",PlanLayout!Z4&amp;CHAR(10)&amp;IFERROR(IF(INDEX(tblStellplatz[SAP],MATCH(PlanLayout!Z4,tblStellplatz[Stellplatz],0))="","leer",IF(LEFT(RIGHT(INDEX(tblStellplatz[SAP],MATCH(PlanLayout!Z4,tblStellplatz[Stellplatz],0)),4),1)="0",RIGHT(INDEX(tblStellplatz[SAP],MATCH(PlanLayout!Z4,tblStellplatz[Stellplatz],0)),5),RIGHT(INDEX(tblStellplatz[SAP],MATCH(PlanLayout!Z4,tblStellplatz[Stellplatz],0)),4))),"?"))</f>
        <v/>
      </c>
      <c r="AA4" s="4">
        <f>IF(PlanLayout!AA4="","",PlanLayout!AA4&amp;CHAR(10)&amp;IFERROR(IF(INDEX(tblStellplatz[SAP],MATCH(PlanLayout!AA4,tblStellplatz[Stellplatz],0))="","leer",IF(LEFT(RIGHT(INDEX(tblStellplatz[SAP],MATCH(PlanLayout!AA4,tblStellplatz[Stellplatz],0)),4),1)="0",RIGHT(INDEX(tblStellplatz[SAP],MATCH(PlanLayout!AA4,tblStellplatz[Stellplatz],0)),5),RIGHT(INDEX(tblStellplatz[SAP],MATCH(PlanLayout!AA4,tblStellplatz[Stellplatz],0)),4))),"?"))</f>
        <v/>
      </c>
      <c r="AB4" s="4">
        <f>IF(PlanLayout!AB4="","",PlanLayout!AB4&amp;CHAR(10)&amp;IFERROR(IF(INDEX(tblStellplatz[SAP],MATCH(PlanLayout!AB4,tblStellplatz[Stellplatz],0))="","leer",IF(LEFT(RIGHT(INDEX(tblStellplatz[SAP],MATCH(PlanLayout!AB4,tblStellplatz[Stellplatz],0)),4),1)="0",RIGHT(INDEX(tblStellplatz[SAP],MATCH(PlanLayout!AB4,tblStellplatz[Stellplatz],0)),5),RIGHT(INDEX(tblStellplatz[SAP],MATCH(PlanLayout!AB4,tblStellplatz[Stellplatz],0)),4))),"?"))</f>
        <v/>
      </c>
      <c r="AC4" s="4">
        <f>IF(PlanLayout!AC4="","",PlanLayout!AC4&amp;CHAR(10)&amp;IFERROR(IF(INDEX(tblStellplatz[SAP],MATCH(PlanLayout!AC4,tblStellplatz[Stellplatz],0))="","leer",IF(LEFT(RIGHT(INDEX(tblStellplatz[SAP],MATCH(PlanLayout!AC4,tblStellplatz[Stellplatz],0)),4),1)="0",RIGHT(INDEX(tblStellplatz[SAP],MATCH(PlanLayout!AC4,tblStellplatz[Stellplatz],0)),5),RIGHT(INDEX(tblStellplatz[SAP],MATCH(PlanLayout!AC4,tblStellplatz[Stellplatz],0)),4))),"?"))</f>
        <v/>
      </c>
      <c r="AD4" s="4">
        <f>IF(PlanLayout!AD4="","",PlanLayout!AD4&amp;CHAR(10)&amp;IFERROR(IF(INDEX(tblStellplatz[SAP],MATCH(PlanLayout!AD4,tblStellplatz[Stellplatz],0))="","leer",IF(LEFT(RIGHT(INDEX(tblStellplatz[SAP],MATCH(PlanLayout!AD4,tblStellplatz[Stellplatz],0)),4),1)="0",RIGHT(INDEX(tblStellplatz[SAP],MATCH(PlanLayout!AD4,tblStellplatz[Stellplatz],0)),5),RIGHT(INDEX(tblStellplatz[SAP],MATCH(PlanLayout!AD4,tblStellplatz[Stellplatz],0)),4))),"?"))</f>
        <v/>
      </c>
      <c r="AE4" s="4">
        <f>IF(PlanLayout!AE4="","",PlanLayout!AE4&amp;CHAR(10)&amp;IFERROR(IF(INDEX(tblStellplatz[SAP],MATCH(PlanLayout!AE4,tblStellplatz[Stellplatz],0))="","leer",IF(LEFT(RIGHT(INDEX(tblStellplatz[SAP],MATCH(PlanLayout!AE4,tblStellplatz[Stellplatz],0)),4),1)="0",RIGHT(INDEX(tblStellplatz[SAP],MATCH(PlanLayout!AE4,tblStellplatz[Stellplatz],0)),5),RIGHT(INDEX(tblStellplatz[SAP],MATCH(PlanLayout!AE4,tblStellplatz[Stellplatz],0)),4))),"?"))</f>
        <v/>
      </c>
      <c r="AF4" s="4">
        <f>IF(PlanLayout!AF4="","",PlanLayout!AF4&amp;CHAR(10)&amp;IFERROR(IF(INDEX(tblStellplatz[SAP],MATCH(PlanLayout!AF4,tblStellplatz[Stellplatz],0))="","leer",IF(LEFT(RIGHT(INDEX(tblStellplatz[SAP],MATCH(PlanLayout!AF4,tblStellplatz[Stellplatz],0)),4),1)="0",RIGHT(INDEX(tblStellplatz[SAP],MATCH(PlanLayout!AF4,tblStellplatz[Stellplatz],0)),5),RIGHT(INDEX(tblStellplatz[SAP],MATCH(PlanLayout!AF4,tblStellplatz[Stellplatz],0)),4))),"?"))</f>
        <v/>
      </c>
      <c r="AG4" s="4">
        <f>IF(PlanLayout!AG4="","",PlanLayout!AG4&amp;CHAR(10)&amp;IFERROR(IF(INDEX(tblStellplatz[SAP],MATCH(PlanLayout!AG4,tblStellplatz[Stellplatz],0))="","leer",IF(LEFT(RIGHT(INDEX(tblStellplatz[SAP],MATCH(PlanLayout!AG4,tblStellplatz[Stellplatz],0)),4),1)="0",RIGHT(INDEX(tblStellplatz[SAP],MATCH(PlanLayout!AG4,tblStellplatz[Stellplatz],0)),5),RIGHT(INDEX(tblStellplatz[SAP],MATCH(PlanLayout!AG4,tblStellplatz[Stellplatz],0)),4))),"?"))</f>
        <v/>
      </c>
      <c r="AH4" s="4">
        <f>IF(PlanLayout!AH4="","",PlanLayout!AH4&amp;CHAR(10)&amp;IFERROR(IF(INDEX(tblStellplatz[SAP],MATCH(PlanLayout!AH4,tblStellplatz[Stellplatz],0))="","leer",IF(LEFT(RIGHT(INDEX(tblStellplatz[SAP],MATCH(PlanLayout!AH4,tblStellplatz[Stellplatz],0)),4),1)="0",RIGHT(INDEX(tblStellplatz[SAP],MATCH(PlanLayout!AH4,tblStellplatz[Stellplatz],0)),5),RIGHT(INDEX(tblStellplatz[SAP],MATCH(PlanLayout!AH4,tblStellplatz[Stellplatz],0)),4))),"?"))</f>
        <v/>
      </c>
      <c r="AI4" s="4">
        <f>IF(PlanLayout!AI4="","",PlanLayout!AI4&amp;CHAR(10)&amp;IFERROR(IF(INDEX(tblStellplatz[SAP],MATCH(PlanLayout!AI4,tblStellplatz[Stellplatz],0))="","leer",IF(LEFT(RIGHT(INDEX(tblStellplatz[SAP],MATCH(PlanLayout!AI4,tblStellplatz[Stellplatz],0)),4),1)="0",RIGHT(INDEX(tblStellplatz[SAP],MATCH(PlanLayout!AI4,tblStellplatz[Stellplatz],0)),5),RIGHT(INDEX(tblStellplatz[SAP],MATCH(PlanLayout!AI4,tblStellplatz[Stellplatz],0)),4))),"?"))</f>
        <v/>
      </c>
      <c r="AJ4" s="4">
        <f>IF(PlanLayout!AJ4="","",PlanLayout!AJ4&amp;CHAR(10)&amp;IFERROR(IF(INDEX(tblStellplatz[SAP],MATCH(PlanLayout!AJ4,tblStellplatz[Stellplatz],0))="","leer",IF(LEFT(RIGHT(INDEX(tblStellplatz[SAP],MATCH(PlanLayout!AJ4,tblStellplatz[Stellplatz],0)),4),1)="0",RIGHT(INDEX(tblStellplatz[SAP],MATCH(PlanLayout!AJ4,tblStellplatz[Stellplatz],0)),5),RIGHT(INDEX(tblStellplatz[SAP],MATCH(PlanLayout!AJ4,tblStellplatz[Stellplatz],0)),4))),"?"))</f>
        <v/>
      </c>
      <c r="AK4" s="4">
        <f>IF(PlanLayout!AK4="","",PlanLayout!AK4&amp;CHAR(10)&amp;IFERROR(IF(INDEX(tblStellplatz[SAP],MATCH(PlanLayout!AK4,tblStellplatz[Stellplatz],0))="","leer",IF(LEFT(RIGHT(INDEX(tblStellplatz[SAP],MATCH(PlanLayout!AK4,tblStellplatz[Stellplatz],0)),4),1)="0",RIGHT(INDEX(tblStellplatz[SAP],MATCH(PlanLayout!AK4,tblStellplatz[Stellplatz],0)),5),RIGHT(INDEX(tblStellplatz[SAP],MATCH(PlanLayout!AK4,tblStellplatz[Stellplatz],0)),4))),"?"))</f>
        <v/>
      </c>
      <c r="AL4" s="4">
        <f>IF(PlanLayout!AL4="","",PlanLayout!AL4&amp;CHAR(10)&amp;IFERROR(IF(INDEX(tblStellplatz[SAP],MATCH(PlanLayout!AL4,tblStellplatz[Stellplatz],0))="","leer",IF(LEFT(RIGHT(INDEX(tblStellplatz[SAP],MATCH(PlanLayout!AL4,tblStellplatz[Stellplatz],0)),4),1)="0",RIGHT(INDEX(tblStellplatz[SAP],MATCH(PlanLayout!AL4,tblStellplatz[Stellplatz],0)),5),RIGHT(INDEX(tblStellplatz[SAP],MATCH(PlanLayout!AL4,tblStellplatz[Stellplatz],0)),4))),"?"))</f>
        <v/>
      </c>
      <c r="AM4" s="4">
        <f>IF(PlanLayout!AM4="","",PlanLayout!AM4&amp;CHAR(10)&amp;IFERROR(IF(INDEX(tblStellplatz[SAP],MATCH(PlanLayout!AM4,tblStellplatz[Stellplatz],0))="","leer",IF(LEFT(RIGHT(INDEX(tblStellplatz[SAP],MATCH(PlanLayout!AM4,tblStellplatz[Stellplatz],0)),4),1)="0",RIGHT(INDEX(tblStellplatz[SAP],MATCH(PlanLayout!AM4,tblStellplatz[Stellplatz],0)),5),RIGHT(INDEX(tblStellplatz[SAP],MATCH(PlanLayout!AM4,tblStellplatz[Stellplatz],0)),4))),"?"))</f>
        <v/>
      </c>
      <c r="AN4" s="4">
        <f>IF(PlanLayout!AN4="","",PlanLayout!AN4&amp;CHAR(10)&amp;IFERROR(IF(INDEX(tblStellplatz[SAP],MATCH(PlanLayout!AN4,tblStellplatz[Stellplatz],0))="","leer",IF(LEFT(RIGHT(INDEX(tblStellplatz[SAP],MATCH(PlanLayout!AN4,tblStellplatz[Stellplatz],0)),4),1)="0",RIGHT(INDEX(tblStellplatz[SAP],MATCH(PlanLayout!AN4,tblStellplatz[Stellplatz],0)),5),RIGHT(INDEX(tblStellplatz[SAP],MATCH(PlanLayout!AN4,tblStellplatz[Stellplatz],0)),4))),"?"))</f>
        <v/>
      </c>
      <c r="AO4" s="4">
        <f>IF(PlanLayout!AO4="","",PlanLayout!AO4&amp;CHAR(10)&amp;IFERROR(IF(INDEX(tblStellplatz[SAP],MATCH(PlanLayout!AO4,tblStellplatz[Stellplatz],0))="","leer",IF(LEFT(RIGHT(INDEX(tblStellplatz[SAP],MATCH(PlanLayout!AO4,tblStellplatz[Stellplatz],0)),4),1)="0",RIGHT(INDEX(tblStellplatz[SAP],MATCH(PlanLayout!AO4,tblStellplatz[Stellplatz],0)),5),RIGHT(INDEX(tblStellplatz[SAP],MATCH(PlanLayout!AO4,tblStellplatz[Stellplatz],0)),4))),"?"))</f>
        <v/>
      </c>
    </row>
    <row r="5" ht="30" customHeight="1">
      <c r="B5" s="4">
        <f>IF(PlanLayout!B5="","",PlanLayout!B5&amp;CHAR(10)&amp;IFERROR(IF(INDEX(tblStellplatz[SAP],MATCH(PlanLayout!B5,tblStellplatz[Stellplatz],0))="","leer",IF(LEFT(RIGHT(INDEX(tblStellplatz[SAP],MATCH(PlanLayout!B5,tblStellplatz[Stellplatz],0)),4),1)="0",RIGHT(INDEX(tblStellplatz[SAP],MATCH(PlanLayout!B5,tblStellplatz[Stellplatz],0)),5),RIGHT(INDEX(tblStellplatz[SAP],MATCH(PlanLayout!B5,tblStellplatz[Stellplatz],0)),4))),"?"))</f>
        <v/>
      </c>
      <c r="C5" s="4">
        <f>IF(PlanLayout!C5="","",PlanLayout!C5&amp;CHAR(10)&amp;IFERROR(IF(INDEX(tblStellplatz[SAP],MATCH(PlanLayout!C5,tblStellplatz[Stellplatz],0))="","leer",IF(LEFT(RIGHT(INDEX(tblStellplatz[SAP],MATCH(PlanLayout!C5,tblStellplatz[Stellplatz],0)),4),1)="0",RIGHT(INDEX(tblStellplatz[SAP],MATCH(PlanLayout!C5,tblStellplatz[Stellplatz],0)),5),RIGHT(INDEX(tblStellplatz[SAP],MATCH(PlanLayout!C5,tblStellplatz[Stellplatz],0)),4))),"?"))</f>
        <v/>
      </c>
      <c r="D5" s="4">
        <f>IF(PlanLayout!D5="","",PlanLayout!D5&amp;CHAR(10)&amp;IFERROR(IF(INDEX(tblStellplatz[SAP],MATCH(PlanLayout!D5,tblStellplatz[Stellplatz],0))="","leer",IF(LEFT(RIGHT(INDEX(tblStellplatz[SAP],MATCH(PlanLayout!D5,tblStellplatz[Stellplatz],0)),4),1)="0",RIGHT(INDEX(tblStellplatz[SAP],MATCH(PlanLayout!D5,tblStellplatz[Stellplatz],0)),5),RIGHT(INDEX(tblStellplatz[SAP],MATCH(PlanLayout!D5,tblStellplatz[Stellplatz],0)),4))),"?"))</f>
        <v/>
      </c>
      <c r="E5" s="4">
        <f>IF(PlanLayout!E5="","",PlanLayout!E5&amp;CHAR(10)&amp;IFERROR(IF(INDEX(tblStellplatz[SAP],MATCH(PlanLayout!E5,tblStellplatz[Stellplatz],0))="","leer",IF(LEFT(RIGHT(INDEX(tblStellplatz[SAP],MATCH(PlanLayout!E5,tblStellplatz[Stellplatz],0)),4),1)="0",RIGHT(INDEX(tblStellplatz[SAP],MATCH(PlanLayout!E5,tblStellplatz[Stellplatz],0)),5),RIGHT(INDEX(tblStellplatz[SAP],MATCH(PlanLayout!E5,tblStellplatz[Stellplatz],0)),4))),"?"))</f>
        <v/>
      </c>
      <c r="F5" s="4">
        <f>IF(PlanLayout!F5="","",PlanLayout!F5&amp;CHAR(10)&amp;IFERROR(IF(INDEX(tblStellplatz[SAP],MATCH(PlanLayout!F5,tblStellplatz[Stellplatz],0))="","leer",IF(LEFT(RIGHT(INDEX(tblStellplatz[SAP],MATCH(PlanLayout!F5,tblStellplatz[Stellplatz],0)),4),1)="0",RIGHT(INDEX(tblStellplatz[SAP],MATCH(PlanLayout!F5,tblStellplatz[Stellplatz],0)),5),RIGHT(INDEX(tblStellplatz[SAP],MATCH(PlanLayout!F5,tblStellplatz[Stellplatz],0)),4))),"?"))</f>
        <v/>
      </c>
      <c r="G5" s="4">
        <f>IF(PlanLayout!G5="","",PlanLayout!G5&amp;CHAR(10)&amp;IFERROR(IF(INDEX(tblStellplatz[SAP],MATCH(PlanLayout!G5,tblStellplatz[Stellplatz],0))="","leer",IF(LEFT(RIGHT(INDEX(tblStellplatz[SAP],MATCH(PlanLayout!G5,tblStellplatz[Stellplatz],0)),4),1)="0",RIGHT(INDEX(tblStellplatz[SAP],MATCH(PlanLayout!G5,tblStellplatz[Stellplatz],0)),5),RIGHT(INDEX(tblStellplatz[SAP],MATCH(PlanLayout!G5,tblStellplatz[Stellplatz],0)),4))),"?"))</f>
        <v/>
      </c>
      <c r="H5" s="4">
        <f>IF(PlanLayout!H5="","",PlanLayout!H5&amp;CHAR(10)&amp;IFERROR(IF(INDEX(tblStellplatz[SAP],MATCH(PlanLayout!H5,tblStellplatz[Stellplatz],0))="","leer",IF(LEFT(RIGHT(INDEX(tblStellplatz[SAP],MATCH(PlanLayout!H5,tblStellplatz[Stellplatz],0)),4),1)="0",RIGHT(INDEX(tblStellplatz[SAP],MATCH(PlanLayout!H5,tblStellplatz[Stellplatz],0)),5),RIGHT(INDEX(tblStellplatz[SAP],MATCH(PlanLayout!H5,tblStellplatz[Stellplatz],0)),4))),"?"))</f>
        <v/>
      </c>
      <c r="I5" s="4">
        <f>IF(PlanLayout!I5="","",PlanLayout!I5&amp;CHAR(10)&amp;IFERROR(IF(INDEX(tblStellplatz[SAP],MATCH(PlanLayout!I5,tblStellplatz[Stellplatz],0))="","leer",IF(LEFT(RIGHT(INDEX(tblStellplatz[SAP],MATCH(PlanLayout!I5,tblStellplatz[Stellplatz],0)),4),1)="0",RIGHT(INDEX(tblStellplatz[SAP],MATCH(PlanLayout!I5,tblStellplatz[Stellplatz],0)),5),RIGHT(INDEX(tblStellplatz[SAP],MATCH(PlanLayout!I5,tblStellplatz[Stellplatz],0)),4))),"?"))</f>
        <v/>
      </c>
      <c r="J5" s="4">
        <f>IF(PlanLayout!J5="","",PlanLayout!J5&amp;CHAR(10)&amp;IFERROR(IF(INDEX(tblStellplatz[SAP],MATCH(PlanLayout!J5,tblStellplatz[Stellplatz],0))="","leer",IF(LEFT(RIGHT(INDEX(tblStellplatz[SAP],MATCH(PlanLayout!J5,tblStellplatz[Stellplatz],0)),4),1)="0",RIGHT(INDEX(tblStellplatz[SAP],MATCH(PlanLayout!J5,tblStellplatz[Stellplatz],0)),5),RIGHT(INDEX(tblStellplatz[SAP],MATCH(PlanLayout!J5,tblStellplatz[Stellplatz],0)),4))),"?"))</f>
        <v/>
      </c>
      <c r="K5" s="4">
        <f>IF(PlanLayout!K5="","",PlanLayout!K5&amp;CHAR(10)&amp;IFERROR(IF(INDEX(tblStellplatz[SAP],MATCH(PlanLayout!K5,tblStellplatz[Stellplatz],0))="","leer",IF(LEFT(RIGHT(INDEX(tblStellplatz[SAP],MATCH(PlanLayout!K5,tblStellplatz[Stellplatz],0)),4),1)="0",RIGHT(INDEX(tblStellplatz[SAP],MATCH(PlanLayout!K5,tblStellplatz[Stellplatz],0)),5),RIGHT(INDEX(tblStellplatz[SAP],MATCH(PlanLayout!K5,tblStellplatz[Stellplatz],0)),4))),"?"))</f>
        <v/>
      </c>
      <c r="L5" s="4">
        <f>IF(PlanLayout!L5="","",PlanLayout!L5&amp;CHAR(10)&amp;IFERROR(IF(INDEX(tblStellplatz[SAP],MATCH(PlanLayout!L5,tblStellplatz[Stellplatz],0))="","leer",IF(LEFT(RIGHT(INDEX(tblStellplatz[SAP],MATCH(PlanLayout!L5,tblStellplatz[Stellplatz],0)),4),1)="0",RIGHT(INDEX(tblStellplatz[SAP],MATCH(PlanLayout!L5,tblStellplatz[Stellplatz],0)),5),RIGHT(INDEX(tblStellplatz[SAP],MATCH(PlanLayout!L5,tblStellplatz[Stellplatz],0)),4))),"?"))</f>
        <v/>
      </c>
      <c r="M5" s="4">
        <f>IF(PlanLayout!M5="","",PlanLayout!M5&amp;CHAR(10)&amp;IFERROR(IF(INDEX(tblStellplatz[SAP],MATCH(PlanLayout!M5,tblStellplatz[Stellplatz],0))="","leer",IF(LEFT(RIGHT(INDEX(tblStellplatz[SAP],MATCH(PlanLayout!M5,tblStellplatz[Stellplatz],0)),4),1)="0",RIGHT(INDEX(tblStellplatz[SAP],MATCH(PlanLayout!M5,tblStellplatz[Stellplatz],0)),5),RIGHT(INDEX(tblStellplatz[SAP],MATCH(PlanLayout!M5,tblStellplatz[Stellplatz],0)),4))),"?"))</f>
        <v/>
      </c>
      <c r="N5" s="4">
        <f>IF(PlanLayout!N5="","",PlanLayout!N5&amp;CHAR(10)&amp;IFERROR(IF(INDEX(tblStellplatz[SAP],MATCH(PlanLayout!N5,tblStellplatz[Stellplatz],0))="","leer",IF(LEFT(RIGHT(INDEX(tblStellplatz[SAP],MATCH(PlanLayout!N5,tblStellplatz[Stellplatz],0)),4),1)="0",RIGHT(INDEX(tblStellplatz[SAP],MATCH(PlanLayout!N5,tblStellplatz[Stellplatz],0)),5),RIGHT(INDEX(tblStellplatz[SAP],MATCH(PlanLayout!N5,tblStellplatz[Stellplatz],0)),4))),"?"))</f>
        <v/>
      </c>
      <c r="O5" s="4">
        <f>IF(PlanLayout!O5="","",PlanLayout!O5&amp;CHAR(10)&amp;IFERROR(IF(INDEX(tblStellplatz[SAP],MATCH(PlanLayout!O5,tblStellplatz[Stellplatz],0))="","leer",IF(LEFT(RIGHT(INDEX(tblStellplatz[SAP],MATCH(PlanLayout!O5,tblStellplatz[Stellplatz],0)),4),1)="0",RIGHT(INDEX(tblStellplatz[SAP],MATCH(PlanLayout!O5,tblStellplatz[Stellplatz],0)),5),RIGHT(INDEX(tblStellplatz[SAP],MATCH(PlanLayout!O5,tblStellplatz[Stellplatz],0)),4))),"?"))</f>
        <v/>
      </c>
      <c r="P5" s="4">
        <f>IF(PlanLayout!P5="","",PlanLayout!P5&amp;CHAR(10)&amp;IFERROR(IF(INDEX(tblStellplatz[SAP],MATCH(PlanLayout!P5,tblStellplatz[Stellplatz],0))="","leer",IF(LEFT(RIGHT(INDEX(tblStellplatz[SAP],MATCH(PlanLayout!P5,tblStellplatz[Stellplatz],0)),4),1)="0",RIGHT(INDEX(tblStellplatz[SAP],MATCH(PlanLayout!P5,tblStellplatz[Stellplatz],0)),5),RIGHT(INDEX(tblStellplatz[SAP],MATCH(PlanLayout!P5,tblStellplatz[Stellplatz],0)),4))),"?"))</f>
        <v/>
      </c>
      <c r="Q5" s="4">
        <f>IF(PlanLayout!Q5="","",PlanLayout!Q5&amp;CHAR(10)&amp;IFERROR(IF(INDEX(tblStellplatz[SAP],MATCH(PlanLayout!Q5,tblStellplatz[Stellplatz],0))="","leer",IF(LEFT(RIGHT(INDEX(tblStellplatz[SAP],MATCH(PlanLayout!Q5,tblStellplatz[Stellplatz],0)),4),1)="0",RIGHT(INDEX(tblStellplatz[SAP],MATCH(PlanLayout!Q5,tblStellplatz[Stellplatz],0)),5),RIGHT(INDEX(tblStellplatz[SAP],MATCH(PlanLayout!Q5,tblStellplatz[Stellplatz],0)),4))),"?"))</f>
        <v/>
      </c>
      <c r="R5" s="4">
        <f>IF(PlanLayout!R5="","",PlanLayout!R5&amp;CHAR(10)&amp;IFERROR(IF(INDEX(tblStellplatz[SAP],MATCH(PlanLayout!R5,tblStellplatz[Stellplatz],0))="","leer",IF(LEFT(RIGHT(INDEX(tblStellplatz[SAP],MATCH(PlanLayout!R5,tblStellplatz[Stellplatz],0)),4),1)="0",RIGHT(INDEX(tblStellplatz[SAP],MATCH(PlanLayout!R5,tblStellplatz[Stellplatz],0)),5),RIGHT(INDEX(tblStellplatz[SAP],MATCH(PlanLayout!R5,tblStellplatz[Stellplatz],0)),4))),"?"))</f>
        <v/>
      </c>
      <c r="S5" s="4">
        <f>IF(PlanLayout!S5="","",PlanLayout!S5&amp;CHAR(10)&amp;IFERROR(IF(INDEX(tblStellplatz[SAP],MATCH(PlanLayout!S5,tblStellplatz[Stellplatz],0))="","leer",IF(LEFT(RIGHT(INDEX(tblStellplatz[SAP],MATCH(PlanLayout!S5,tblStellplatz[Stellplatz],0)),4),1)="0",RIGHT(INDEX(tblStellplatz[SAP],MATCH(PlanLayout!S5,tblStellplatz[Stellplatz],0)),5),RIGHT(INDEX(tblStellplatz[SAP],MATCH(PlanLayout!S5,tblStellplatz[Stellplatz],0)),4))),"?"))</f>
        <v/>
      </c>
      <c r="T5" s="4">
        <f>IF(PlanLayout!T5="","",PlanLayout!T5&amp;CHAR(10)&amp;IFERROR(IF(INDEX(tblStellplatz[SAP],MATCH(PlanLayout!T5,tblStellplatz[Stellplatz],0))="","leer",IF(LEFT(RIGHT(INDEX(tblStellplatz[SAP],MATCH(PlanLayout!T5,tblStellplatz[Stellplatz],0)),4),1)="0",RIGHT(INDEX(tblStellplatz[SAP],MATCH(PlanLayout!T5,tblStellplatz[Stellplatz],0)),5),RIGHT(INDEX(tblStellplatz[SAP],MATCH(PlanLayout!T5,tblStellplatz[Stellplatz],0)),4))),"?"))</f>
        <v/>
      </c>
      <c r="U5" s="4">
        <f>IF(PlanLayout!U5="","",PlanLayout!U5&amp;CHAR(10)&amp;IFERROR(IF(INDEX(tblStellplatz[SAP],MATCH(PlanLayout!U5,tblStellplatz[Stellplatz],0))="","leer",IF(LEFT(RIGHT(INDEX(tblStellplatz[SAP],MATCH(PlanLayout!U5,tblStellplatz[Stellplatz],0)),4),1)="0",RIGHT(INDEX(tblStellplatz[SAP],MATCH(PlanLayout!U5,tblStellplatz[Stellplatz],0)),5),RIGHT(INDEX(tblStellplatz[SAP],MATCH(PlanLayout!U5,tblStellplatz[Stellplatz],0)),4))),"?"))</f>
        <v/>
      </c>
      <c r="V5" s="4">
        <f>IF(PlanLayout!V5="","",PlanLayout!V5&amp;CHAR(10)&amp;IFERROR(IF(INDEX(tblStellplatz[SAP],MATCH(PlanLayout!V5,tblStellplatz[Stellplatz],0))="","leer",IF(LEFT(RIGHT(INDEX(tblStellplatz[SAP],MATCH(PlanLayout!V5,tblStellplatz[Stellplatz],0)),4),1)="0",RIGHT(INDEX(tblStellplatz[SAP],MATCH(PlanLayout!V5,tblStellplatz[Stellplatz],0)),5),RIGHT(INDEX(tblStellplatz[SAP],MATCH(PlanLayout!V5,tblStellplatz[Stellplatz],0)),4))),"?"))</f>
        <v/>
      </c>
      <c r="W5" s="4">
        <f>IF(PlanLayout!W5="","",PlanLayout!W5&amp;CHAR(10)&amp;IFERROR(IF(INDEX(tblStellplatz[SAP],MATCH(PlanLayout!W5,tblStellplatz[Stellplatz],0))="","leer",IF(LEFT(RIGHT(INDEX(tblStellplatz[SAP],MATCH(PlanLayout!W5,tblStellplatz[Stellplatz],0)),4),1)="0",RIGHT(INDEX(tblStellplatz[SAP],MATCH(PlanLayout!W5,tblStellplatz[Stellplatz],0)),5),RIGHT(INDEX(tblStellplatz[SAP],MATCH(PlanLayout!W5,tblStellplatz[Stellplatz],0)),4))),"?"))</f>
        <v/>
      </c>
      <c r="X5" s="4">
        <f>IF(PlanLayout!X5="","",PlanLayout!X5&amp;CHAR(10)&amp;IFERROR(IF(INDEX(tblStellplatz[SAP],MATCH(PlanLayout!X5,tblStellplatz[Stellplatz],0))="","leer",IF(LEFT(RIGHT(INDEX(tblStellplatz[SAP],MATCH(PlanLayout!X5,tblStellplatz[Stellplatz],0)),4),1)="0",RIGHT(INDEX(tblStellplatz[SAP],MATCH(PlanLayout!X5,tblStellplatz[Stellplatz],0)),5),RIGHT(INDEX(tblStellplatz[SAP],MATCH(PlanLayout!X5,tblStellplatz[Stellplatz],0)),4))),"?"))</f>
        <v/>
      </c>
      <c r="Y5" s="4">
        <f>IF(PlanLayout!Y5="","",PlanLayout!Y5&amp;CHAR(10)&amp;IFERROR(IF(INDEX(tblStellplatz[SAP],MATCH(PlanLayout!Y5,tblStellplatz[Stellplatz],0))="","leer",IF(LEFT(RIGHT(INDEX(tblStellplatz[SAP],MATCH(PlanLayout!Y5,tblStellplatz[Stellplatz],0)),4),1)="0",RIGHT(INDEX(tblStellplatz[SAP],MATCH(PlanLayout!Y5,tblStellplatz[Stellplatz],0)),5),RIGHT(INDEX(tblStellplatz[SAP],MATCH(PlanLayout!Y5,tblStellplatz[Stellplatz],0)),4))),"?"))</f>
        <v/>
      </c>
      <c r="Z5" s="4">
        <f>IF(PlanLayout!Z5="","",PlanLayout!Z5&amp;CHAR(10)&amp;IFERROR(IF(INDEX(tblStellplatz[SAP],MATCH(PlanLayout!Z5,tblStellplatz[Stellplatz],0))="","leer",IF(LEFT(RIGHT(INDEX(tblStellplatz[SAP],MATCH(PlanLayout!Z5,tblStellplatz[Stellplatz],0)),4),1)="0",RIGHT(INDEX(tblStellplatz[SAP],MATCH(PlanLayout!Z5,tblStellplatz[Stellplatz],0)),5),RIGHT(INDEX(tblStellplatz[SAP],MATCH(PlanLayout!Z5,tblStellplatz[Stellplatz],0)),4))),"?"))</f>
        <v/>
      </c>
      <c r="AA5" s="4">
        <f>IF(PlanLayout!AA5="","",PlanLayout!AA5&amp;CHAR(10)&amp;IFERROR(IF(INDEX(tblStellplatz[SAP],MATCH(PlanLayout!AA5,tblStellplatz[Stellplatz],0))="","leer",IF(LEFT(RIGHT(INDEX(tblStellplatz[SAP],MATCH(PlanLayout!AA5,tblStellplatz[Stellplatz],0)),4),1)="0",RIGHT(INDEX(tblStellplatz[SAP],MATCH(PlanLayout!AA5,tblStellplatz[Stellplatz],0)),5),RIGHT(INDEX(tblStellplatz[SAP],MATCH(PlanLayout!AA5,tblStellplatz[Stellplatz],0)),4))),"?"))</f>
        <v/>
      </c>
      <c r="AB5" s="4">
        <f>IF(PlanLayout!AB5="","",PlanLayout!AB5&amp;CHAR(10)&amp;IFERROR(IF(INDEX(tblStellplatz[SAP],MATCH(PlanLayout!AB5,tblStellplatz[Stellplatz],0))="","leer",IF(LEFT(RIGHT(INDEX(tblStellplatz[SAP],MATCH(PlanLayout!AB5,tblStellplatz[Stellplatz],0)),4),1)="0",RIGHT(INDEX(tblStellplatz[SAP],MATCH(PlanLayout!AB5,tblStellplatz[Stellplatz],0)),5),RIGHT(INDEX(tblStellplatz[SAP],MATCH(PlanLayout!AB5,tblStellplatz[Stellplatz],0)),4))),"?"))</f>
        <v/>
      </c>
      <c r="AC5" s="4">
        <f>IF(PlanLayout!AC5="","",PlanLayout!AC5&amp;CHAR(10)&amp;IFERROR(IF(INDEX(tblStellplatz[SAP],MATCH(PlanLayout!AC5,tblStellplatz[Stellplatz],0))="","leer",IF(LEFT(RIGHT(INDEX(tblStellplatz[SAP],MATCH(PlanLayout!AC5,tblStellplatz[Stellplatz],0)),4),1)="0",RIGHT(INDEX(tblStellplatz[SAP],MATCH(PlanLayout!AC5,tblStellplatz[Stellplatz],0)),5),RIGHT(INDEX(tblStellplatz[SAP],MATCH(PlanLayout!AC5,tblStellplatz[Stellplatz],0)),4))),"?"))</f>
        <v/>
      </c>
      <c r="AD5" s="4">
        <f>IF(PlanLayout!AD5="","",PlanLayout!AD5&amp;CHAR(10)&amp;IFERROR(IF(INDEX(tblStellplatz[SAP],MATCH(PlanLayout!AD5,tblStellplatz[Stellplatz],0))="","leer",IF(LEFT(RIGHT(INDEX(tblStellplatz[SAP],MATCH(PlanLayout!AD5,tblStellplatz[Stellplatz],0)),4),1)="0",RIGHT(INDEX(tblStellplatz[SAP],MATCH(PlanLayout!AD5,tblStellplatz[Stellplatz],0)),5),RIGHT(INDEX(tblStellplatz[SAP],MATCH(PlanLayout!AD5,tblStellplatz[Stellplatz],0)),4))),"?"))</f>
        <v/>
      </c>
      <c r="AE5" s="4">
        <f>IF(PlanLayout!AE5="","",PlanLayout!AE5&amp;CHAR(10)&amp;IFERROR(IF(INDEX(tblStellplatz[SAP],MATCH(PlanLayout!AE5,tblStellplatz[Stellplatz],0))="","leer",IF(LEFT(RIGHT(INDEX(tblStellplatz[SAP],MATCH(PlanLayout!AE5,tblStellplatz[Stellplatz],0)),4),1)="0",RIGHT(INDEX(tblStellplatz[SAP],MATCH(PlanLayout!AE5,tblStellplatz[Stellplatz],0)),5),RIGHT(INDEX(tblStellplatz[SAP],MATCH(PlanLayout!AE5,tblStellplatz[Stellplatz],0)),4))),"?"))</f>
        <v/>
      </c>
      <c r="AF5" s="4">
        <f>IF(PlanLayout!AF5="","",PlanLayout!AF5&amp;CHAR(10)&amp;IFERROR(IF(INDEX(tblStellplatz[SAP],MATCH(PlanLayout!AF5,tblStellplatz[Stellplatz],0))="","leer",IF(LEFT(RIGHT(INDEX(tblStellplatz[SAP],MATCH(PlanLayout!AF5,tblStellplatz[Stellplatz],0)),4),1)="0",RIGHT(INDEX(tblStellplatz[SAP],MATCH(PlanLayout!AF5,tblStellplatz[Stellplatz],0)),5),RIGHT(INDEX(tblStellplatz[SAP],MATCH(PlanLayout!AF5,tblStellplatz[Stellplatz],0)),4))),"?"))</f>
        <v/>
      </c>
      <c r="AG5" s="4">
        <f>IF(PlanLayout!AG5="","",PlanLayout!AG5&amp;CHAR(10)&amp;IFERROR(IF(INDEX(tblStellplatz[SAP],MATCH(PlanLayout!AG5,tblStellplatz[Stellplatz],0))="","leer",IF(LEFT(RIGHT(INDEX(tblStellplatz[SAP],MATCH(PlanLayout!AG5,tblStellplatz[Stellplatz],0)),4),1)="0",RIGHT(INDEX(tblStellplatz[SAP],MATCH(PlanLayout!AG5,tblStellplatz[Stellplatz],0)),5),RIGHT(INDEX(tblStellplatz[SAP],MATCH(PlanLayout!AG5,tblStellplatz[Stellplatz],0)),4))),"?"))</f>
        <v/>
      </c>
      <c r="AH5" s="4">
        <f>IF(PlanLayout!AH5="","",PlanLayout!AH5&amp;CHAR(10)&amp;IFERROR(IF(INDEX(tblStellplatz[SAP],MATCH(PlanLayout!AH5,tblStellplatz[Stellplatz],0))="","leer",IF(LEFT(RIGHT(INDEX(tblStellplatz[SAP],MATCH(PlanLayout!AH5,tblStellplatz[Stellplatz],0)),4),1)="0",RIGHT(INDEX(tblStellplatz[SAP],MATCH(PlanLayout!AH5,tblStellplatz[Stellplatz],0)),5),RIGHT(INDEX(tblStellplatz[SAP],MATCH(PlanLayout!AH5,tblStellplatz[Stellplatz],0)),4))),"?"))</f>
        <v/>
      </c>
      <c r="AI5" s="4">
        <f>IF(PlanLayout!AI5="","",PlanLayout!AI5&amp;CHAR(10)&amp;IFERROR(IF(INDEX(tblStellplatz[SAP],MATCH(PlanLayout!AI5,tblStellplatz[Stellplatz],0))="","leer",IF(LEFT(RIGHT(INDEX(tblStellplatz[SAP],MATCH(PlanLayout!AI5,tblStellplatz[Stellplatz],0)),4),1)="0",RIGHT(INDEX(tblStellplatz[SAP],MATCH(PlanLayout!AI5,tblStellplatz[Stellplatz],0)),5),RIGHT(INDEX(tblStellplatz[SAP],MATCH(PlanLayout!AI5,tblStellplatz[Stellplatz],0)),4))),"?"))</f>
        <v/>
      </c>
      <c r="AJ5" s="4">
        <f>IF(PlanLayout!AJ5="","",PlanLayout!AJ5&amp;CHAR(10)&amp;IFERROR(IF(INDEX(tblStellplatz[SAP],MATCH(PlanLayout!AJ5,tblStellplatz[Stellplatz],0))="","leer",IF(LEFT(RIGHT(INDEX(tblStellplatz[SAP],MATCH(PlanLayout!AJ5,tblStellplatz[Stellplatz],0)),4),1)="0",RIGHT(INDEX(tblStellplatz[SAP],MATCH(PlanLayout!AJ5,tblStellplatz[Stellplatz],0)),5),RIGHT(INDEX(tblStellplatz[SAP],MATCH(PlanLayout!AJ5,tblStellplatz[Stellplatz],0)),4))),"?"))</f>
        <v/>
      </c>
      <c r="AK5" s="4">
        <f>IF(PlanLayout!AK5="","",PlanLayout!AK5&amp;CHAR(10)&amp;IFERROR(IF(INDEX(tblStellplatz[SAP],MATCH(PlanLayout!AK5,tblStellplatz[Stellplatz],0))="","leer",IF(LEFT(RIGHT(INDEX(tblStellplatz[SAP],MATCH(PlanLayout!AK5,tblStellplatz[Stellplatz],0)),4),1)="0",RIGHT(INDEX(tblStellplatz[SAP],MATCH(PlanLayout!AK5,tblStellplatz[Stellplatz],0)),5),RIGHT(INDEX(tblStellplatz[SAP],MATCH(PlanLayout!AK5,tblStellplatz[Stellplatz],0)),4))),"?"))</f>
        <v/>
      </c>
      <c r="AL5" s="4">
        <f>IF(PlanLayout!AL5="","",PlanLayout!AL5&amp;CHAR(10)&amp;IFERROR(IF(INDEX(tblStellplatz[SAP],MATCH(PlanLayout!AL5,tblStellplatz[Stellplatz],0))="","leer",IF(LEFT(RIGHT(INDEX(tblStellplatz[SAP],MATCH(PlanLayout!AL5,tblStellplatz[Stellplatz],0)),4),1)="0",RIGHT(INDEX(tblStellplatz[SAP],MATCH(PlanLayout!AL5,tblStellplatz[Stellplatz],0)),5),RIGHT(INDEX(tblStellplatz[SAP],MATCH(PlanLayout!AL5,tblStellplatz[Stellplatz],0)),4))),"?"))</f>
        <v/>
      </c>
      <c r="AM5" s="4">
        <f>IF(PlanLayout!AM5="","",PlanLayout!AM5&amp;CHAR(10)&amp;IFERROR(IF(INDEX(tblStellplatz[SAP],MATCH(PlanLayout!AM5,tblStellplatz[Stellplatz],0))="","leer",IF(LEFT(RIGHT(INDEX(tblStellplatz[SAP],MATCH(PlanLayout!AM5,tblStellplatz[Stellplatz],0)),4),1)="0",RIGHT(INDEX(tblStellplatz[SAP],MATCH(PlanLayout!AM5,tblStellplatz[Stellplatz],0)),5),RIGHT(INDEX(tblStellplatz[SAP],MATCH(PlanLayout!AM5,tblStellplatz[Stellplatz],0)),4))),"?"))</f>
        <v/>
      </c>
      <c r="AN5" s="4">
        <f>IF(PlanLayout!AN5="","",PlanLayout!AN5&amp;CHAR(10)&amp;IFERROR(IF(INDEX(tblStellplatz[SAP],MATCH(PlanLayout!AN5,tblStellplatz[Stellplatz],0))="","leer",IF(LEFT(RIGHT(INDEX(tblStellplatz[SAP],MATCH(PlanLayout!AN5,tblStellplatz[Stellplatz],0)),4),1)="0",RIGHT(INDEX(tblStellplatz[SAP],MATCH(PlanLayout!AN5,tblStellplatz[Stellplatz],0)),5),RIGHT(INDEX(tblStellplatz[SAP],MATCH(PlanLayout!AN5,tblStellplatz[Stellplatz],0)),4))),"?"))</f>
        <v/>
      </c>
      <c r="AO5" s="4">
        <f>IF(PlanLayout!AO5="","",PlanLayout!AO5&amp;CHAR(10)&amp;IFERROR(IF(INDEX(tblStellplatz[SAP],MATCH(PlanLayout!AO5,tblStellplatz[Stellplatz],0))="","leer",IF(LEFT(RIGHT(INDEX(tblStellplatz[SAP],MATCH(PlanLayout!AO5,tblStellplatz[Stellplatz],0)),4),1)="0",RIGHT(INDEX(tblStellplatz[SAP],MATCH(PlanLayout!AO5,tblStellplatz[Stellplatz],0)),5),RIGHT(INDEX(tblStellplatz[SAP],MATCH(PlanLayout!AO5,tblStellplatz[Stellplatz],0)),4))),"?"))</f>
        <v/>
      </c>
    </row>
    <row r="6" ht="30" customHeight="1">
      <c r="B6" s="4">
        <f>IF(PlanLayout!B6="","",PlanLayout!B6&amp;CHAR(10)&amp;IFERROR(IF(INDEX(tblStellplatz[SAP],MATCH(PlanLayout!B6,tblStellplatz[Stellplatz],0))="","leer",IF(LEFT(RIGHT(INDEX(tblStellplatz[SAP],MATCH(PlanLayout!B6,tblStellplatz[Stellplatz],0)),4),1)="0",RIGHT(INDEX(tblStellplatz[SAP],MATCH(PlanLayout!B6,tblStellplatz[Stellplatz],0)),5),RIGHT(INDEX(tblStellplatz[SAP],MATCH(PlanLayout!B6,tblStellplatz[Stellplatz],0)),4))),"?"))</f>
        <v/>
      </c>
      <c r="C6" s="4">
        <f>IF(PlanLayout!C6="","",PlanLayout!C6&amp;CHAR(10)&amp;IFERROR(IF(INDEX(tblStellplatz[SAP],MATCH(PlanLayout!C6,tblStellplatz[Stellplatz],0))="","leer",IF(LEFT(RIGHT(INDEX(tblStellplatz[SAP],MATCH(PlanLayout!C6,tblStellplatz[Stellplatz],0)),4),1)="0",RIGHT(INDEX(tblStellplatz[SAP],MATCH(PlanLayout!C6,tblStellplatz[Stellplatz],0)),5),RIGHT(INDEX(tblStellplatz[SAP],MATCH(PlanLayout!C6,tblStellplatz[Stellplatz],0)),4))),"?"))</f>
        <v/>
      </c>
      <c r="D6" s="4">
        <f>IF(PlanLayout!D6="","",PlanLayout!D6&amp;CHAR(10)&amp;IFERROR(IF(INDEX(tblStellplatz[SAP],MATCH(PlanLayout!D6,tblStellplatz[Stellplatz],0))="","leer",IF(LEFT(RIGHT(INDEX(tblStellplatz[SAP],MATCH(PlanLayout!D6,tblStellplatz[Stellplatz],0)),4),1)="0",RIGHT(INDEX(tblStellplatz[SAP],MATCH(PlanLayout!D6,tblStellplatz[Stellplatz],0)),5),RIGHT(INDEX(tblStellplatz[SAP],MATCH(PlanLayout!D6,tblStellplatz[Stellplatz],0)),4))),"?"))</f>
        <v/>
      </c>
      <c r="E6" s="4">
        <f>IF(PlanLayout!E6="","",PlanLayout!E6&amp;CHAR(10)&amp;IFERROR(IF(INDEX(tblStellplatz[SAP],MATCH(PlanLayout!E6,tblStellplatz[Stellplatz],0))="","leer",IF(LEFT(RIGHT(INDEX(tblStellplatz[SAP],MATCH(PlanLayout!E6,tblStellplatz[Stellplatz],0)),4),1)="0",RIGHT(INDEX(tblStellplatz[SAP],MATCH(PlanLayout!E6,tblStellplatz[Stellplatz],0)),5),RIGHT(INDEX(tblStellplatz[SAP],MATCH(PlanLayout!E6,tblStellplatz[Stellplatz],0)),4))),"?"))</f>
        <v/>
      </c>
      <c r="F6" s="4">
        <f>IF(PlanLayout!F6="","",PlanLayout!F6&amp;CHAR(10)&amp;IFERROR(IF(INDEX(tblStellplatz[SAP],MATCH(PlanLayout!F6,tblStellplatz[Stellplatz],0))="","leer",IF(LEFT(RIGHT(INDEX(tblStellplatz[SAP],MATCH(PlanLayout!F6,tblStellplatz[Stellplatz],0)),4),1)="0",RIGHT(INDEX(tblStellplatz[SAP],MATCH(PlanLayout!F6,tblStellplatz[Stellplatz],0)),5),RIGHT(INDEX(tblStellplatz[SAP],MATCH(PlanLayout!F6,tblStellplatz[Stellplatz],0)),4))),"?"))</f>
        <v/>
      </c>
      <c r="G6" s="4">
        <f>IF(PlanLayout!G6="","",PlanLayout!G6&amp;CHAR(10)&amp;IFERROR(IF(INDEX(tblStellplatz[SAP],MATCH(PlanLayout!G6,tblStellplatz[Stellplatz],0))="","leer",IF(LEFT(RIGHT(INDEX(tblStellplatz[SAP],MATCH(PlanLayout!G6,tblStellplatz[Stellplatz],0)),4),1)="0",RIGHT(INDEX(tblStellplatz[SAP],MATCH(PlanLayout!G6,tblStellplatz[Stellplatz],0)),5),RIGHT(INDEX(tblStellplatz[SAP],MATCH(PlanLayout!G6,tblStellplatz[Stellplatz],0)),4))),"?"))</f>
        <v/>
      </c>
      <c r="H6" s="4">
        <f>IF(PlanLayout!H6="","",PlanLayout!H6&amp;CHAR(10)&amp;IFERROR(IF(INDEX(tblStellplatz[SAP],MATCH(PlanLayout!H6,tblStellplatz[Stellplatz],0))="","leer",IF(LEFT(RIGHT(INDEX(tblStellplatz[SAP],MATCH(PlanLayout!H6,tblStellplatz[Stellplatz],0)),4),1)="0",RIGHT(INDEX(tblStellplatz[SAP],MATCH(PlanLayout!H6,tblStellplatz[Stellplatz],0)),5),RIGHT(INDEX(tblStellplatz[SAP],MATCH(PlanLayout!H6,tblStellplatz[Stellplatz],0)),4))),"?"))</f>
        <v/>
      </c>
      <c r="I6" s="4">
        <f>IF(PlanLayout!I6="","",PlanLayout!I6&amp;CHAR(10)&amp;IFERROR(IF(INDEX(tblStellplatz[SAP],MATCH(PlanLayout!I6,tblStellplatz[Stellplatz],0))="","leer",IF(LEFT(RIGHT(INDEX(tblStellplatz[SAP],MATCH(PlanLayout!I6,tblStellplatz[Stellplatz],0)),4),1)="0",RIGHT(INDEX(tblStellplatz[SAP],MATCH(PlanLayout!I6,tblStellplatz[Stellplatz],0)),5),RIGHT(INDEX(tblStellplatz[SAP],MATCH(PlanLayout!I6,tblStellplatz[Stellplatz],0)),4))),"?"))</f>
        <v/>
      </c>
      <c r="J6" s="4">
        <f>IF(PlanLayout!J6="","",PlanLayout!J6&amp;CHAR(10)&amp;IFERROR(IF(INDEX(tblStellplatz[SAP],MATCH(PlanLayout!J6,tblStellplatz[Stellplatz],0))="","leer",IF(LEFT(RIGHT(INDEX(tblStellplatz[SAP],MATCH(PlanLayout!J6,tblStellplatz[Stellplatz],0)),4),1)="0",RIGHT(INDEX(tblStellplatz[SAP],MATCH(PlanLayout!J6,tblStellplatz[Stellplatz],0)),5),RIGHT(INDEX(tblStellplatz[SAP],MATCH(PlanLayout!J6,tblStellplatz[Stellplatz],0)),4))),"?"))</f>
        <v/>
      </c>
      <c r="K6" s="4">
        <f>IF(PlanLayout!K6="","",PlanLayout!K6&amp;CHAR(10)&amp;IFERROR(IF(INDEX(tblStellplatz[SAP],MATCH(PlanLayout!K6,tblStellplatz[Stellplatz],0))="","leer",IF(LEFT(RIGHT(INDEX(tblStellplatz[SAP],MATCH(PlanLayout!K6,tblStellplatz[Stellplatz],0)),4),1)="0",RIGHT(INDEX(tblStellplatz[SAP],MATCH(PlanLayout!K6,tblStellplatz[Stellplatz],0)),5),RIGHT(INDEX(tblStellplatz[SAP],MATCH(PlanLayout!K6,tblStellplatz[Stellplatz],0)),4))),"?"))</f>
        <v/>
      </c>
      <c r="L6" s="4">
        <f>IF(PlanLayout!L6="","",PlanLayout!L6&amp;CHAR(10)&amp;IFERROR(IF(INDEX(tblStellplatz[SAP],MATCH(PlanLayout!L6,tblStellplatz[Stellplatz],0))="","leer",IF(LEFT(RIGHT(INDEX(tblStellplatz[SAP],MATCH(PlanLayout!L6,tblStellplatz[Stellplatz],0)),4),1)="0",RIGHT(INDEX(tblStellplatz[SAP],MATCH(PlanLayout!L6,tblStellplatz[Stellplatz],0)),5),RIGHT(INDEX(tblStellplatz[SAP],MATCH(PlanLayout!L6,tblStellplatz[Stellplatz],0)),4))),"?"))</f>
        <v/>
      </c>
      <c r="M6" s="4">
        <f>IF(PlanLayout!M6="","",PlanLayout!M6&amp;CHAR(10)&amp;IFERROR(IF(INDEX(tblStellplatz[SAP],MATCH(PlanLayout!M6,tblStellplatz[Stellplatz],0))="","leer",IF(LEFT(RIGHT(INDEX(tblStellplatz[SAP],MATCH(PlanLayout!M6,tblStellplatz[Stellplatz],0)),4),1)="0",RIGHT(INDEX(tblStellplatz[SAP],MATCH(PlanLayout!M6,tblStellplatz[Stellplatz],0)),5),RIGHT(INDEX(tblStellplatz[SAP],MATCH(PlanLayout!M6,tblStellplatz[Stellplatz],0)),4))),"?"))</f>
        <v/>
      </c>
      <c r="N6" s="4">
        <f>IF(PlanLayout!N6="","",PlanLayout!N6&amp;CHAR(10)&amp;IFERROR(IF(INDEX(tblStellplatz[SAP],MATCH(PlanLayout!N6,tblStellplatz[Stellplatz],0))="","leer",IF(LEFT(RIGHT(INDEX(tblStellplatz[SAP],MATCH(PlanLayout!N6,tblStellplatz[Stellplatz],0)),4),1)="0",RIGHT(INDEX(tblStellplatz[SAP],MATCH(PlanLayout!N6,tblStellplatz[Stellplatz],0)),5),RIGHT(INDEX(tblStellplatz[SAP],MATCH(PlanLayout!N6,tblStellplatz[Stellplatz],0)),4))),"?"))</f>
        <v/>
      </c>
      <c r="O6" s="4">
        <f>IF(PlanLayout!O6="","",PlanLayout!O6&amp;CHAR(10)&amp;IFERROR(IF(INDEX(tblStellplatz[SAP],MATCH(PlanLayout!O6,tblStellplatz[Stellplatz],0))="","leer",IF(LEFT(RIGHT(INDEX(tblStellplatz[SAP],MATCH(PlanLayout!O6,tblStellplatz[Stellplatz],0)),4),1)="0",RIGHT(INDEX(tblStellplatz[SAP],MATCH(PlanLayout!O6,tblStellplatz[Stellplatz],0)),5),RIGHT(INDEX(tblStellplatz[SAP],MATCH(PlanLayout!O6,tblStellplatz[Stellplatz],0)),4))),"?"))</f>
        <v/>
      </c>
      <c r="P6" s="4">
        <f>IF(PlanLayout!P6="","",PlanLayout!P6&amp;CHAR(10)&amp;IFERROR(IF(INDEX(tblStellplatz[SAP],MATCH(PlanLayout!P6,tblStellplatz[Stellplatz],0))="","leer",IF(LEFT(RIGHT(INDEX(tblStellplatz[SAP],MATCH(PlanLayout!P6,tblStellplatz[Stellplatz],0)),4),1)="0",RIGHT(INDEX(tblStellplatz[SAP],MATCH(PlanLayout!P6,tblStellplatz[Stellplatz],0)),5),RIGHT(INDEX(tblStellplatz[SAP],MATCH(PlanLayout!P6,tblStellplatz[Stellplatz],0)),4))),"?"))</f>
        <v/>
      </c>
      <c r="Q6" s="4">
        <f>IF(PlanLayout!Q6="","",PlanLayout!Q6&amp;CHAR(10)&amp;IFERROR(IF(INDEX(tblStellplatz[SAP],MATCH(PlanLayout!Q6,tblStellplatz[Stellplatz],0))="","leer",IF(LEFT(RIGHT(INDEX(tblStellplatz[SAP],MATCH(PlanLayout!Q6,tblStellplatz[Stellplatz],0)),4),1)="0",RIGHT(INDEX(tblStellplatz[SAP],MATCH(PlanLayout!Q6,tblStellplatz[Stellplatz],0)),5),RIGHT(INDEX(tblStellplatz[SAP],MATCH(PlanLayout!Q6,tblStellplatz[Stellplatz],0)),4))),"?"))</f>
        <v/>
      </c>
      <c r="R6" s="4">
        <f>IF(PlanLayout!R6="","",PlanLayout!R6&amp;CHAR(10)&amp;IFERROR(IF(INDEX(tblStellplatz[SAP],MATCH(PlanLayout!R6,tblStellplatz[Stellplatz],0))="","leer",IF(LEFT(RIGHT(INDEX(tblStellplatz[SAP],MATCH(PlanLayout!R6,tblStellplatz[Stellplatz],0)),4),1)="0",RIGHT(INDEX(tblStellplatz[SAP],MATCH(PlanLayout!R6,tblStellplatz[Stellplatz],0)),5),RIGHT(INDEX(tblStellplatz[SAP],MATCH(PlanLayout!R6,tblStellplatz[Stellplatz],0)),4))),"?"))</f>
        <v/>
      </c>
      <c r="S6" s="4">
        <f>IF(PlanLayout!S6="","",PlanLayout!S6&amp;CHAR(10)&amp;IFERROR(IF(INDEX(tblStellplatz[SAP],MATCH(PlanLayout!S6,tblStellplatz[Stellplatz],0))="","leer",IF(LEFT(RIGHT(INDEX(tblStellplatz[SAP],MATCH(PlanLayout!S6,tblStellplatz[Stellplatz],0)),4),1)="0",RIGHT(INDEX(tblStellplatz[SAP],MATCH(PlanLayout!S6,tblStellplatz[Stellplatz],0)),5),RIGHT(INDEX(tblStellplatz[SAP],MATCH(PlanLayout!S6,tblStellplatz[Stellplatz],0)),4))),"?"))</f>
        <v/>
      </c>
      <c r="T6" s="4">
        <f>IF(PlanLayout!T6="","",PlanLayout!T6&amp;CHAR(10)&amp;IFERROR(IF(INDEX(tblStellplatz[SAP],MATCH(PlanLayout!T6,tblStellplatz[Stellplatz],0))="","leer",IF(LEFT(RIGHT(INDEX(tblStellplatz[SAP],MATCH(PlanLayout!T6,tblStellplatz[Stellplatz],0)),4),1)="0",RIGHT(INDEX(tblStellplatz[SAP],MATCH(PlanLayout!T6,tblStellplatz[Stellplatz],0)),5),RIGHT(INDEX(tblStellplatz[SAP],MATCH(PlanLayout!T6,tblStellplatz[Stellplatz],0)),4))),"?"))</f>
        <v/>
      </c>
      <c r="U6" s="4">
        <f>IF(PlanLayout!U6="","",PlanLayout!U6&amp;CHAR(10)&amp;IFERROR(IF(INDEX(tblStellplatz[SAP],MATCH(PlanLayout!U6,tblStellplatz[Stellplatz],0))="","leer",IF(LEFT(RIGHT(INDEX(tblStellplatz[SAP],MATCH(PlanLayout!U6,tblStellplatz[Stellplatz],0)),4),1)="0",RIGHT(INDEX(tblStellplatz[SAP],MATCH(PlanLayout!U6,tblStellplatz[Stellplatz],0)),5),RIGHT(INDEX(tblStellplatz[SAP],MATCH(PlanLayout!U6,tblStellplatz[Stellplatz],0)),4))),"?"))</f>
        <v/>
      </c>
      <c r="V6" s="4">
        <f>IF(PlanLayout!V6="","",PlanLayout!V6&amp;CHAR(10)&amp;IFERROR(IF(INDEX(tblStellplatz[SAP],MATCH(PlanLayout!V6,tblStellplatz[Stellplatz],0))="","leer",IF(LEFT(RIGHT(INDEX(tblStellplatz[SAP],MATCH(PlanLayout!V6,tblStellplatz[Stellplatz],0)),4),1)="0",RIGHT(INDEX(tblStellplatz[SAP],MATCH(PlanLayout!V6,tblStellplatz[Stellplatz],0)),5),RIGHT(INDEX(tblStellplatz[SAP],MATCH(PlanLayout!V6,tblStellplatz[Stellplatz],0)),4))),"?"))</f>
        <v/>
      </c>
      <c r="W6" s="4">
        <f>IF(PlanLayout!W6="","",PlanLayout!W6&amp;CHAR(10)&amp;IFERROR(IF(INDEX(tblStellplatz[SAP],MATCH(PlanLayout!W6,tblStellplatz[Stellplatz],0))="","leer",IF(LEFT(RIGHT(INDEX(tblStellplatz[SAP],MATCH(PlanLayout!W6,tblStellplatz[Stellplatz],0)),4),1)="0",RIGHT(INDEX(tblStellplatz[SAP],MATCH(PlanLayout!W6,tblStellplatz[Stellplatz],0)),5),RIGHT(INDEX(tblStellplatz[SAP],MATCH(PlanLayout!W6,tblStellplatz[Stellplatz],0)),4))),"?"))</f>
        <v/>
      </c>
      <c r="X6" s="4">
        <f>IF(PlanLayout!X6="","",PlanLayout!X6&amp;CHAR(10)&amp;IFERROR(IF(INDEX(tblStellplatz[SAP],MATCH(PlanLayout!X6,tblStellplatz[Stellplatz],0))="","leer",IF(LEFT(RIGHT(INDEX(tblStellplatz[SAP],MATCH(PlanLayout!X6,tblStellplatz[Stellplatz],0)),4),1)="0",RIGHT(INDEX(tblStellplatz[SAP],MATCH(PlanLayout!X6,tblStellplatz[Stellplatz],0)),5),RIGHT(INDEX(tblStellplatz[SAP],MATCH(PlanLayout!X6,tblStellplatz[Stellplatz],0)),4))),"?"))</f>
        <v/>
      </c>
      <c r="Y6" s="4">
        <f>IF(PlanLayout!Y6="","",PlanLayout!Y6&amp;CHAR(10)&amp;IFERROR(IF(INDEX(tblStellplatz[SAP],MATCH(PlanLayout!Y6,tblStellplatz[Stellplatz],0))="","leer",IF(LEFT(RIGHT(INDEX(tblStellplatz[SAP],MATCH(PlanLayout!Y6,tblStellplatz[Stellplatz],0)),4),1)="0",RIGHT(INDEX(tblStellplatz[SAP],MATCH(PlanLayout!Y6,tblStellplatz[Stellplatz],0)),5),RIGHT(INDEX(tblStellplatz[SAP],MATCH(PlanLayout!Y6,tblStellplatz[Stellplatz],0)),4))),"?"))</f>
        <v/>
      </c>
      <c r="Z6" s="4">
        <f>IF(PlanLayout!Z6="","",PlanLayout!Z6&amp;CHAR(10)&amp;IFERROR(IF(INDEX(tblStellplatz[SAP],MATCH(PlanLayout!Z6,tblStellplatz[Stellplatz],0))="","leer",IF(LEFT(RIGHT(INDEX(tblStellplatz[SAP],MATCH(PlanLayout!Z6,tblStellplatz[Stellplatz],0)),4),1)="0",RIGHT(INDEX(tblStellplatz[SAP],MATCH(PlanLayout!Z6,tblStellplatz[Stellplatz],0)),5),RIGHT(INDEX(tblStellplatz[SAP],MATCH(PlanLayout!Z6,tblStellplatz[Stellplatz],0)),4))),"?"))</f>
        <v/>
      </c>
      <c r="AA6" s="4">
        <f>IF(PlanLayout!AA6="","",PlanLayout!AA6&amp;CHAR(10)&amp;IFERROR(IF(INDEX(tblStellplatz[SAP],MATCH(PlanLayout!AA6,tblStellplatz[Stellplatz],0))="","leer",IF(LEFT(RIGHT(INDEX(tblStellplatz[SAP],MATCH(PlanLayout!AA6,tblStellplatz[Stellplatz],0)),4),1)="0",RIGHT(INDEX(tblStellplatz[SAP],MATCH(PlanLayout!AA6,tblStellplatz[Stellplatz],0)),5),RIGHT(INDEX(tblStellplatz[SAP],MATCH(PlanLayout!AA6,tblStellplatz[Stellplatz],0)),4))),"?"))</f>
        <v/>
      </c>
      <c r="AB6" s="4">
        <f>IF(PlanLayout!AB6="","",PlanLayout!AB6&amp;CHAR(10)&amp;IFERROR(IF(INDEX(tblStellplatz[SAP],MATCH(PlanLayout!AB6,tblStellplatz[Stellplatz],0))="","leer",IF(LEFT(RIGHT(INDEX(tblStellplatz[SAP],MATCH(PlanLayout!AB6,tblStellplatz[Stellplatz],0)),4),1)="0",RIGHT(INDEX(tblStellplatz[SAP],MATCH(PlanLayout!AB6,tblStellplatz[Stellplatz],0)),5),RIGHT(INDEX(tblStellplatz[SAP],MATCH(PlanLayout!AB6,tblStellplatz[Stellplatz],0)),4))),"?"))</f>
        <v/>
      </c>
      <c r="AC6" s="4">
        <f>IF(PlanLayout!AC6="","",PlanLayout!AC6&amp;CHAR(10)&amp;IFERROR(IF(INDEX(tblStellplatz[SAP],MATCH(PlanLayout!AC6,tblStellplatz[Stellplatz],0))="","leer",IF(LEFT(RIGHT(INDEX(tblStellplatz[SAP],MATCH(PlanLayout!AC6,tblStellplatz[Stellplatz],0)),4),1)="0",RIGHT(INDEX(tblStellplatz[SAP],MATCH(PlanLayout!AC6,tblStellplatz[Stellplatz],0)),5),RIGHT(INDEX(tblStellplatz[SAP],MATCH(PlanLayout!AC6,tblStellplatz[Stellplatz],0)),4))),"?"))</f>
        <v/>
      </c>
      <c r="AD6" s="4">
        <f>IF(PlanLayout!AD6="","",PlanLayout!AD6&amp;CHAR(10)&amp;IFERROR(IF(INDEX(tblStellplatz[SAP],MATCH(PlanLayout!AD6,tblStellplatz[Stellplatz],0))="","leer",IF(LEFT(RIGHT(INDEX(tblStellplatz[SAP],MATCH(PlanLayout!AD6,tblStellplatz[Stellplatz],0)),4),1)="0",RIGHT(INDEX(tblStellplatz[SAP],MATCH(PlanLayout!AD6,tblStellplatz[Stellplatz],0)),5),RIGHT(INDEX(tblStellplatz[SAP],MATCH(PlanLayout!AD6,tblStellplatz[Stellplatz],0)),4))),"?"))</f>
        <v/>
      </c>
      <c r="AE6" s="4">
        <f>IF(PlanLayout!AE6="","",PlanLayout!AE6&amp;CHAR(10)&amp;IFERROR(IF(INDEX(tblStellplatz[SAP],MATCH(PlanLayout!AE6,tblStellplatz[Stellplatz],0))="","leer",IF(LEFT(RIGHT(INDEX(tblStellplatz[SAP],MATCH(PlanLayout!AE6,tblStellplatz[Stellplatz],0)),4),1)="0",RIGHT(INDEX(tblStellplatz[SAP],MATCH(PlanLayout!AE6,tblStellplatz[Stellplatz],0)),5),RIGHT(INDEX(tblStellplatz[SAP],MATCH(PlanLayout!AE6,tblStellplatz[Stellplatz],0)),4))),"?"))</f>
        <v/>
      </c>
      <c r="AF6" s="4">
        <f>IF(PlanLayout!AF6="","",PlanLayout!AF6&amp;CHAR(10)&amp;IFERROR(IF(INDEX(tblStellplatz[SAP],MATCH(PlanLayout!AF6,tblStellplatz[Stellplatz],0))="","leer",IF(LEFT(RIGHT(INDEX(tblStellplatz[SAP],MATCH(PlanLayout!AF6,tblStellplatz[Stellplatz],0)),4),1)="0",RIGHT(INDEX(tblStellplatz[SAP],MATCH(PlanLayout!AF6,tblStellplatz[Stellplatz],0)),5),RIGHT(INDEX(tblStellplatz[SAP],MATCH(PlanLayout!AF6,tblStellplatz[Stellplatz],0)),4))),"?"))</f>
        <v/>
      </c>
      <c r="AG6" s="4">
        <f>IF(PlanLayout!AG6="","",PlanLayout!AG6&amp;CHAR(10)&amp;IFERROR(IF(INDEX(tblStellplatz[SAP],MATCH(PlanLayout!AG6,tblStellplatz[Stellplatz],0))="","leer",IF(LEFT(RIGHT(INDEX(tblStellplatz[SAP],MATCH(PlanLayout!AG6,tblStellplatz[Stellplatz],0)),4),1)="0",RIGHT(INDEX(tblStellplatz[SAP],MATCH(PlanLayout!AG6,tblStellplatz[Stellplatz],0)),5),RIGHT(INDEX(tblStellplatz[SAP],MATCH(PlanLayout!AG6,tblStellplatz[Stellplatz],0)),4))),"?"))</f>
        <v/>
      </c>
      <c r="AH6" s="4">
        <f>IF(PlanLayout!AH6="","",PlanLayout!AH6&amp;CHAR(10)&amp;IFERROR(IF(INDEX(tblStellplatz[SAP],MATCH(PlanLayout!AH6,tblStellplatz[Stellplatz],0))="","leer",IF(LEFT(RIGHT(INDEX(tblStellplatz[SAP],MATCH(PlanLayout!AH6,tblStellplatz[Stellplatz],0)),4),1)="0",RIGHT(INDEX(tblStellplatz[SAP],MATCH(PlanLayout!AH6,tblStellplatz[Stellplatz],0)),5),RIGHT(INDEX(tblStellplatz[SAP],MATCH(PlanLayout!AH6,tblStellplatz[Stellplatz],0)),4))),"?"))</f>
        <v/>
      </c>
      <c r="AI6" s="4">
        <f>IF(PlanLayout!AI6="","",PlanLayout!AI6&amp;CHAR(10)&amp;IFERROR(IF(INDEX(tblStellplatz[SAP],MATCH(PlanLayout!AI6,tblStellplatz[Stellplatz],0))="","leer",IF(LEFT(RIGHT(INDEX(tblStellplatz[SAP],MATCH(PlanLayout!AI6,tblStellplatz[Stellplatz],0)),4),1)="0",RIGHT(INDEX(tblStellplatz[SAP],MATCH(PlanLayout!AI6,tblStellplatz[Stellplatz],0)),5),RIGHT(INDEX(tblStellplatz[SAP],MATCH(PlanLayout!AI6,tblStellplatz[Stellplatz],0)),4))),"?"))</f>
        <v/>
      </c>
      <c r="AJ6" s="4">
        <f>IF(PlanLayout!AJ6="","",PlanLayout!AJ6&amp;CHAR(10)&amp;IFERROR(IF(INDEX(tblStellplatz[SAP],MATCH(PlanLayout!AJ6,tblStellplatz[Stellplatz],0))="","leer",IF(LEFT(RIGHT(INDEX(tblStellplatz[SAP],MATCH(PlanLayout!AJ6,tblStellplatz[Stellplatz],0)),4),1)="0",RIGHT(INDEX(tblStellplatz[SAP],MATCH(PlanLayout!AJ6,tblStellplatz[Stellplatz],0)),5),RIGHT(INDEX(tblStellplatz[SAP],MATCH(PlanLayout!AJ6,tblStellplatz[Stellplatz],0)),4))),"?"))</f>
        <v/>
      </c>
      <c r="AK6" s="4">
        <f>IF(PlanLayout!AK6="","",PlanLayout!AK6&amp;CHAR(10)&amp;IFERROR(IF(INDEX(tblStellplatz[SAP],MATCH(PlanLayout!AK6,tblStellplatz[Stellplatz],0))="","leer",IF(LEFT(RIGHT(INDEX(tblStellplatz[SAP],MATCH(PlanLayout!AK6,tblStellplatz[Stellplatz],0)),4),1)="0",RIGHT(INDEX(tblStellplatz[SAP],MATCH(PlanLayout!AK6,tblStellplatz[Stellplatz],0)),5),RIGHT(INDEX(tblStellplatz[SAP],MATCH(PlanLayout!AK6,tblStellplatz[Stellplatz],0)),4))),"?"))</f>
        <v/>
      </c>
      <c r="AL6" s="4">
        <f>IF(PlanLayout!AL6="","",PlanLayout!AL6&amp;CHAR(10)&amp;IFERROR(IF(INDEX(tblStellplatz[SAP],MATCH(PlanLayout!AL6,tblStellplatz[Stellplatz],0))="","leer",IF(LEFT(RIGHT(INDEX(tblStellplatz[SAP],MATCH(PlanLayout!AL6,tblStellplatz[Stellplatz],0)),4),1)="0",RIGHT(INDEX(tblStellplatz[SAP],MATCH(PlanLayout!AL6,tblStellplatz[Stellplatz],0)),5),RIGHT(INDEX(tblStellplatz[SAP],MATCH(PlanLayout!AL6,tblStellplatz[Stellplatz],0)),4))),"?"))</f>
        <v/>
      </c>
      <c r="AM6" s="4">
        <f>IF(PlanLayout!AM6="","",PlanLayout!AM6&amp;CHAR(10)&amp;IFERROR(IF(INDEX(tblStellplatz[SAP],MATCH(PlanLayout!AM6,tblStellplatz[Stellplatz],0))="","leer",IF(LEFT(RIGHT(INDEX(tblStellplatz[SAP],MATCH(PlanLayout!AM6,tblStellplatz[Stellplatz],0)),4),1)="0",RIGHT(INDEX(tblStellplatz[SAP],MATCH(PlanLayout!AM6,tblStellplatz[Stellplatz],0)),5),RIGHT(INDEX(tblStellplatz[SAP],MATCH(PlanLayout!AM6,tblStellplatz[Stellplatz],0)),4))),"?"))</f>
        <v/>
      </c>
      <c r="AN6" s="4">
        <f>IF(PlanLayout!AN6="","",PlanLayout!AN6&amp;CHAR(10)&amp;IFERROR(IF(INDEX(tblStellplatz[SAP],MATCH(PlanLayout!AN6,tblStellplatz[Stellplatz],0))="","leer",IF(LEFT(RIGHT(INDEX(tblStellplatz[SAP],MATCH(PlanLayout!AN6,tblStellplatz[Stellplatz],0)),4),1)="0",RIGHT(INDEX(tblStellplatz[SAP],MATCH(PlanLayout!AN6,tblStellplatz[Stellplatz],0)),5),RIGHT(INDEX(tblStellplatz[SAP],MATCH(PlanLayout!AN6,tblStellplatz[Stellplatz],0)),4))),"?"))</f>
        <v/>
      </c>
      <c r="AO6" s="4">
        <f>IF(PlanLayout!AO6="","",PlanLayout!AO6&amp;CHAR(10)&amp;IFERROR(IF(INDEX(tblStellplatz[SAP],MATCH(PlanLayout!AO6,tblStellplatz[Stellplatz],0))="","leer",IF(LEFT(RIGHT(INDEX(tblStellplatz[SAP],MATCH(PlanLayout!AO6,tblStellplatz[Stellplatz],0)),4),1)="0",RIGHT(INDEX(tblStellplatz[SAP],MATCH(PlanLayout!AO6,tblStellplatz[Stellplatz],0)),5),RIGHT(INDEX(tblStellplatz[SAP],MATCH(PlanLayout!AO6,tblStellplatz[Stellplatz],0)),4))),"?"))</f>
        <v/>
      </c>
    </row>
    <row r="7" ht="30" customHeight="1">
      <c r="B7" s="4">
        <f>IF(PlanLayout!B7="","",PlanLayout!B7&amp;CHAR(10)&amp;IFERROR(IF(INDEX(tblStellplatz[SAP],MATCH(PlanLayout!B7,tblStellplatz[Stellplatz],0))="","leer",IF(LEFT(RIGHT(INDEX(tblStellplatz[SAP],MATCH(PlanLayout!B7,tblStellplatz[Stellplatz],0)),4),1)="0",RIGHT(INDEX(tblStellplatz[SAP],MATCH(PlanLayout!B7,tblStellplatz[Stellplatz],0)),5),RIGHT(INDEX(tblStellplatz[SAP],MATCH(PlanLayout!B7,tblStellplatz[Stellplatz],0)),4))),"?"))</f>
        <v/>
      </c>
      <c r="C7" s="4">
        <f>IF(PlanLayout!C7="","",PlanLayout!C7&amp;CHAR(10)&amp;IFERROR(IF(INDEX(tblStellplatz[SAP],MATCH(PlanLayout!C7,tblStellplatz[Stellplatz],0))="","leer",IF(LEFT(RIGHT(INDEX(tblStellplatz[SAP],MATCH(PlanLayout!C7,tblStellplatz[Stellplatz],0)),4),1)="0",RIGHT(INDEX(tblStellplatz[SAP],MATCH(PlanLayout!C7,tblStellplatz[Stellplatz],0)),5),RIGHT(INDEX(tblStellplatz[SAP],MATCH(PlanLayout!C7,tblStellplatz[Stellplatz],0)),4))),"?"))</f>
        <v/>
      </c>
      <c r="D7" s="4">
        <f>IF(PlanLayout!D7="","",PlanLayout!D7&amp;CHAR(10)&amp;IFERROR(IF(INDEX(tblStellplatz[SAP],MATCH(PlanLayout!D7,tblStellplatz[Stellplatz],0))="","leer",IF(LEFT(RIGHT(INDEX(tblStellplatz[SAP],MATCH(PlanLayout!D7,tblStellplatz[Stellplatz],0)),4),1)="0",RIGHT(INDEX(tblStellplatz[SAP],MATCH(PlanLayout!D7,tblStellplatz[Stellplatz],0)),5),RIGHT(INDEX(tblStellplatz[SAP],MATCH(PlanLayout!D7,tblStellplatz[Stellplatz],0)),4))),"?"))</f>
        <v/>
      </c>
      <c r="E7" s="4">
        <f>IF(PlanLayout!E7="","",PlanLayout!E7&amp;CHAR(10)&amp;IFERROR(IF(INDEX(tblStellplatz[SAP],MATCH(PlanLayout!E7,tblStellplatz[Stellplatz],0))="","leer",IF(LEFT(RIGHT(INDEX(tblStellplatz[SAP],MATCH(PlanLayout!E7,tblStellplatz[Stellplatz],0)),4),1)="0",RIGHT(INDEX(tblStellplatz[SAP],MATCH(PlanLayout!E7,tblStellplatz[Stellplatz],0)),5),RIGHT(INDEX(tblStellplatz[SAP],MATCH(PlanLayout!E7,tblStellplatz[Stellplatz],0)),4))),"?"))</f>
        <v/>
      </c>
      <c r="F7" s="4">
        <f>IF(PlanLayout!F7="","",PlanLayout!F7&amp;CHAR(10)&amp;IFERROR(IF(INDEX(tblStellplatz[SAP],MATCH(PlanLayout!F7,tblStellplatz[Stellplatz],0))="","leer",IF(LEFT(RIGHT(INDEX(tblStellplatz[SAP],MATCH(PlanLayout!F7,tblStellplatz[Stellplatz],0)),4),1)="0",RIGHT(INDEX(tblStellplatz[SAP],MATCH(PlanLayout!F7,tblStellplatz[Stellplatz],0)),5),RIGHT(INDEX(tblStellplatz[SAP],MATCH(PlanLayout!F7,tblStellplatz[Stellplatz],0)),4))),"?"))</f>
        <v/>
      </c>
      <c r="G7" s="4">
        <f>IF(PlanLayout!G7="","",PlanLayout!G7&amp;CHAR(10)&amp;IFERROR(IF(INDEX(tblStellplatz[SAP],MATCH(PlanLayout!G7,tblStellplatz[Stellplatz],0))="","leer",IF(LEFT(RIGHT(INDEX(tblStellplatz[SAP],MATCH(PlanLayout!G7,tblStellplatz[Stellplatz],0)),4),1)="0",RIGHT(INDEX(tblStellplatz[SAP],MATCH(PlanLayout!G7,tblStellplatz[Stellplatz],0)),5),RIGHT(INDEX(tblStellplatz[SAP],MATCH(PlanLayout!G7,tblStellplatz[Stellplatz],0)),4))),"?"))</f>
        <v/>
      </c>
      <c r="H7" s="4">
        <f>IF(PlanLayout!H7="","",PlanLayout!H7&amp;CHAR(10)&amp;IFERROR(IF(INDEX(tblStellplatz[SAP],MATCH(PlanLayout!H7,tblStellplatz[Stellplatz],0))="","leer",IF(LEFT(RIGHT(INDEX(tblStellplatz[SAP],MATCH(PlanLayout!H7,tblStellplatz[Stellplatz],0)),4),1)="0",RIGHT(INDEX(tblStellplatz[SAP],MATCH(PlanLayout!H7,tblStellplatz[Stellplatz],0)),5),RIGHT(INDEX(tblStellplatz[SAP],MATCH(PlanLayout!H7,tblStellplatz[Stellplatz],0)),4))),"?"))</f>
        <v/>
      </c>
      <c r="I7" s="4">
        <f>IF(PlanLayout!I7="","",PlanLayout!I7&amp;CHAR(10)&amp;IFERROR(IF(INDEX(tblStellplatz[SAP],MATCH(PlanLayout!I7,tblStellplatz[Stellplatz],0))="","leer",IF(LEFT(RIGHT(INDEX(tblStellplatz[SAP],MATCH(PlanLayout!I7,tblStellplatz[Stellplatz],0)),4),1)="0",RIGHT(INDEX(tblStellplatz[SAP],MATCH(PlanLayout!I7,tblStellplatz[Stellplatz],0)),5),RIGHT(INDEX(tblStellplatz[SAP],MATCH(PlanLayout!I7,tblStellplatz[Stellplatz],0)),4))),"?"))</f>
        <v/>
      </c>
      <c r="J7" s="4">
        <f>IF(PlanLayout!J7="","",PlanLayout!J7&amp;CHAR(10)&amp;IFERROR(IF(INDEX(tblStellplatz[SAP],MATCH(PlanLayout!J7,tblStellplatz[Stellplatz],0))="","leer",IF(LEFT(RIGHT(INDEX(tblStellplatz[SAP],MATCH(PlanLayout!J7,tblStellplatz[Stellplatz],0)),4),1)="0",RIGHT(INDEX(tblStellplatz[SAP],MATCH(PlanLayout!J7,tblStellplatz[Stellplatz],0)),5),RIGHT(INDEX(tblStellplatz[SAP],MATCH(PlanLayout!J7,tblStellplatz[Stellplatz],0)),4))),"?"))</f>
        <v/>
      </c>
      <c r="K7" s="4">
        <f>IF(PlanLayout!K7="","",PlanLayout!K7&amp;CHAR(10)&amp;IFERROR(IF(INDEX(tblStellplatz[SAP],MATCH(PlanLayout!K7,tblStellplatz[Stellplatz],0))="","leer",IF(LEFT(RIGHT(INDEX(tblStellplatz[SAP],MATCH(PlanLayout!K7,tblStellplatz[Stellplatz],0)),4),1)="0",RIGHT(INDEX(tblStellplatz[SAP],MATCH(PlanLayout!K7,tblStellplatz[Stellplatz],0)),5),RIGHT(INDEX(tblStellplatz[SAP],MATCH(PlanLayout!K7,tblStellplatz[Stellplatz],0)),4))),"?"))</f>
        <v/>
      </c>
      <c r="L7" s="4">
        <f>IF(PlanLayout!L7="","",PlanLayout!L7&amp;CHAR(10)&amp;IFERROR(IF(INDEX(tblStellplatz[SAP],MATCH(PlanLayout!L7,tblStellplatz[Stellplatz],0))="","leer",IF(LEFT(RIGHT(INDEX(tblStellplatz[SAP],MATCH(PlanLayout!L7,tblStellplatz[Stellplatz],0)),4),1)="0",RIGHT(INDEX(tblStellplatz[SAP],MATCH(PlanLayout!L7,tblStellplatz[Stellplatz],0)),5),RIGHT(INDEX(tblStellplatz[SAP],MATCH(PlanLayout!L7,tblStellplatz[Stellplatz],0)),4))),"?"))</f>
        <v/>
      </c>
      <c r="M7" s="4">
        <f>IF(PlanLayout!M7="","",PlanLayout!M7&amp;CHAR(10)&amp;IFERROR(IF(INDEX(tblStellplatz[SAP],MATCH(PlanLayout!M7,tblStellplatz[Stellplatz],0))="","leer",IF(LEFT(RIGHT(INDEX(tblStellplatz[SAP],MATCH(PlanLayout!M7,tblStellplatz[Stellplatz],0)),4),1)="0",RIGHT(INDEX(tblStellplatz[SAP],MATCH(PlanLayout!M7,tblStellplatz[Stellplatz],0)),5),RIGHT(INDEX(tblStellplatz[SAP],MATCH(PlanLayout!M7,tblStellplatz[Stellplatz],0)),4))),"?"))</f>
        <v/>
      </c>
      <c r="N7" s="4">
        <f>IF(PlanLayout!N7="","",PlanLayout!N7&amp;CHAR(10)&amp;IFERROR(IF(INDEX(tblStellplatz[SAP],MATCH(PlanLayout!N7,tblStellplatz[Stellplatz],0))="","leer",IF(LEFT(RIGHT(INDEX(tblStellplatz[SAP],MATCH(PlanLayout!N7,tblStellplatz[Stellplatz],0)),4),1)="0",RIGHT(INDEX(tblStellplatz[SAP],MATCH(PlanLayout!N7,tblStellplatz[Stellplatz],0)),5),RIGHT(INDEX(tblStellplatz[SAP],MATCH(PlanLayout!N7,tblStellplatz[Stellplatz],0)),4))),"?"))</f>
        <v/>
      </c>
      <c r="O7" s="4">
        <f>IF(PlanLayout!O7="","",PlanLayout!O7&amp;CHAR(10)&amp;IFERROR(IF(INDEX(tblStellplatz[SAP],MATCH(PlanLayout!O7,tblStellplatz[Stellplatz],0))="","leer",IF(LEFT(RIGHT(INDEX(tblStellplatz[SAP],MATCH(PlanLayout!O7,tblStellplatz[Stellplatz],0)),4),1)="0",RIGHT(INDEX(tblStellplatz[SAP],MATCH(PlanLayout!O7,tblStellplatz[Stellplatz],0)),5),RIGHT(INDEX(tblStellplatz[SAP],MATCH(PlanLayout!O7,tblStellplatz[Stellplatz],0)),4))),"?"))</f>
        <v/>
      </c>
      <c r="P7" s="4">
        <f>IF(PlanLayout!P7="","",PlanLayout!P7&amp;CHAR(10)&amp;IFERROR(IF(INDEX(tblStellplatz[SAP],MATCH(PlanLayout!P7,tblStellplatz[Stellplatz],0))="","leer",IF(LEFT(RIGHT(INDEX(tblStellplatz[SAP],MATCH(PlanLayout!P7,tblStellplatz[Stellplatz],0)),4),1)="0",RIGHT(INDEX(tblStellplatz[SAP],MATCH(PlanLayout!P7,tblStellplatz[Stellplatz],0)),5),RIGHT(INDEX(tblStellplatz[SAP],MATCH(PlanLayout!P7,tblStellplatz[Stellplatz],0)),4))),"?"))</f>
        <v/>
      </c>
      <c r="Q7" s="4">
        <f>IF(PlanLayout!Q7="","",PlanLayout!Q7&amp;CHAR(10)&amp;IFERROR(IF(INDEX(tblStellplatz[SAP],MATCH(PlanLayout!Q7,tblStellplatz[Stellplatz],0))="","leer",IF(LEFT(RIGHT(INDEX(tblStellplatz[SAP],MATCH(PlanLayout!Q7,tblStellplatz[Stellplatz],0)),4),1)="0",RIGHT(INDEX(tblStellplatz[SAP],MATCH(PlanLayout!Q7,tblStellplatz[Stellplatz],0)),5),RIGHT(INDEX(tblStellplatz[SAP],MATCH(PlanLayout!Q7,tblStellplatz[Stellplatz],0)),4))),"?"))</f>
        <v/>
      </c>
      <c r="R7" s="4">
        <f>IF(PlanLayout!R7="","",PlanLayout!R7&amp;CHAR(10)&amp;IFERROR(IF(INDEX(tblStellplatz[SAP],MATCH(PlanLayout!R7,tblStellplatz[Stellplatz],0))="","leer",IF(LEFT(RIGHT(INDEX(tblStellplatz[SAP],MATCH(PlanLayout!R7,tblStellplatz[Stellplatz],0)),4),1)="0",RIGHT(INDEX(tblStellplatz[SAP],MATCH(PlanLayout!R7,tblStellplatz[Stellplatz],0)),5),RIGHT(INDEX(tblStellplatz[SAP],MATCH(PlanLayout!R7,tblStellplatz[Stellplatz],0)),4))),"?"))</f>
        <v/>
      </c>
      <c r="S7" s="4">
        <f>IF(PlanLayout!S7="","",PlanLayout!S7&amp;CHAR(10)&amp;IFERROR(IF(INDEX(tblStellplatz[SAP],MATCH(PlanLayout!S7,tblStellplatz[Stellplatz],0))="","leer",IF(LEFT(RIGHT(INDEX(tblStellplatz[SAP],MATCH(PlanLayout!S7,tblStellplatz[Stellplatz],0)),4),1)="0",RIGHT(INDEX(tblStellplatz[SAP],MATCH(PlanLayout!S7,tblStellplatz[Stellplatz],0)),5),RIGHT(INDEX(tblStellplatz[SAP],MATCH(PlanLayout!S7,tblStellplatz[Stellplatz],0)),4))),"?"))</f>
        <v/>
      </c>
      <c r="T7" s="4">
        <f>IF(PlanLayout!T7="","",PlanLayout!T7&amp;CHAR(10)&amp;IFERROR(IF(INDEX(tblStellplatz[SAP],MATCH(PlanLayout!T7,tblStellplatz[Stellplatz],0))="","leer",IF(LEFT(RIGHT(INDEX(tblStellplatz[SAP],MATCH(PlanLayout!T7,tblStellplatz[Stellplatz],0)),4),1)="0",RIGHT(INDEX(tblStellplatz[SAP],MATCH(PlanLayout!T7,tblStellplatz[Stellplatz],0)),5),RIGHT(INDEX(tblStellplatz[SAP],MATCH(PlanLayout!T7,tblStellplatz[Stellplatz],0)),4))),"?"))</f>
        <v/>
      </c>
      <c r="U7" s="4">
        <f>IF(PlanLayout!U7="","",PlanLayout!U7&amp;CHAR(10)&amp;IFERROR(IF(INDEX(tblStellplatz[SAP],MATCH(PlanLayout!U7,tblStellplatz[Stellplatz],0))="","leer",IF(LEFT(RIGHT(INDEX(tblStellplatz[SAP],MATCH(PlanLayout!U7,tblStellplatz[Stellplatz],0)),4),1)="0",RIGHT(INDEX(tblStellplatz[SAP],MATCH(PlanLayout!U7,tblStellplatz[Stellplatz],0)),5),RIGHT(INDEX(tblStellplatz[SAP],MATCH(PlanLayout!U7,tblStellplatz[Stellplatz],0)),4))),"?"))</f>
        <v/>
      </c>
      <c r="V7" s="4">
        <f>IF(PlanLayout!V7="","",PlanLayout!V7&amp;CHAR(10)&amp;IFERROR(IF(INDEX(tblStellplatz[SAP],MATCH(PlanLayout!V7,tblStellplatz[Stellplatz],0))="","leer",IF(LEFT(RIGHT(INDEX(tblStellplatz[SAP],MATCH(PlanLayout!V7,tblStellplatz[Stellplatz],0)),4),1)="0",RIGHT(INDEX(tblStellplatz[SAP],MATCH(PlanLayout!V7,tblStellplatz[Stellplatz],0)),5),RIGHT(INDEX(tblStellplatz[SAP],MATCH(PlanLayout!V7,tblStellplatz[Stellplatz],0)),4))),"?"))</f>
        <v/>
      </c>
      <c r="W7" s="4">
        <f>IF(PlanLayout!W7="","",PlanLayout!W7&amp;CHAR(10)&amp;IFERROR(IF(INDEX(tblStellplatz[SAP],MATCH(PlanLayout!W7,tblStellplatz[Stellplatz],0))="","leer",IF(LEFT(RIGHT(INDEX(tblStellplatz[SAP],MATCH(PlanLayout!W7,tblStellplatz[Stellplatz],0)),4),1)="0",RIGHT(INDEX(tblStellplatz[SAP],MATCH(PlanLayout!W7,tblStellplatz[Stellplatz],0)),5),RIGHT(INDEX(tblStellplatz[SAP],MATCH(PlanLayout!W7,tblStellplatz[Stellplatz],0)),4))),"?"))</f>
        <v/>
      </c>
      <c r="X7" s="4">
        <f>IF(PlanLayout!X7="","",PlanLayout!X7&amp;CHAR(10)&amp;IFERROR(IF(INDEX(tblStellplatz[SAP],MATCH(PlanLayout!X7,tblStellplatz[Stellplatz],0))="","leer",IF(LEFT(RIGHT(INDEX(tblStellplatz[SAP],MATCH(PlanLayout!X7,tblStellplatz[Stellplatz],0)),4),1)="0",RIGHT(INDEX(tblStellplatz[SAP],MATCH(PlanLayout!X7,tblStellplatz[Stellplatz],0)),5),RIGHT(INDEX(tblStellplatz[SAP],MATCH(PlanLayout!X7,tblStellplatz[Stellplatz],0)),4))),"?"))</f>
        <v/>
      </c>
      <c r="Y7" s="4">
        <f>IF(PlanLayout!Y7="","",PlanLayout!Y7&amp;CHAR(10)&amp;IFERROR(IF(INDEX(tblStellplatz[SAP],MATCH(PlanLayout!Y7,tblStellplatz[Stellplatz],0))="","leer",IF(LEFT(RIGHT(INDEX(tblStellplatz[SAP],MATCH(PlanLayout!Y7,tblStellplatz[Stellplatz],0)),4),1)="0",RIGHT(INDEX(tblStellplatz[SAP],MATCH(PlanLayout!Y7,tblStellplatz[Stellplatz],0)),5),RIGHT(INDEX(tblStellplatz[SAP],MATCH(PlanLayout!Y7,tblStellplatz[Stellplatz],0)),4))),"?"))</f>
        <v/>
      </c>
      <c r="Z7" s="4">
        <f>IF(PlanLayout!Z7="","",PlanLayout!Z7&amp;CHAR(10)&amp;IFERROR(IF(INDEX(tblStellplatz[SAP],MATCH(PlanLayout!Z7,tblStellplatz[Stellplatz],0))="","leer",IF(LEFT(RIGHT(INDEX(tblStellplatz[SAP],MATCH(PlanLayout!Z7,tblStellplatz[Stellplatz],0)),4),1)="0",RIGHT(INDEX(tblStellplatz[SAP],MATCH(PlanLayout!Z7,tblStellplatz[Stellplatz],0)),5),RIGHT(INDEX(tblStellplatz[SAP],MATCH(PlanLayout!Z7,tblStellplatz[Stellplatz],0)),4))),"?"))</f>
        <v/>
      </c>
      <c r="AA7" s="4">
        <f>IF(PlanLayout!AA7="","",PlanLayout!AA7&amp;CHAR(10)&amp;IFERROR(IF(INDEX(tblStellplatz[SAP],MATCH(PlanLayout!AA7,tblStellplatz[Stellplatz],0))="","leer",IF(LEFT(RIGHT(INDEX(tblStellplatz[SAP],MATCH(PlanLayout!AA7,tblStellplatz[Stellplatz],0)),4),1)="0",RIGHT(INDEX(tblStellplatz[SAP],MATCH(PlanLayout!AA7,tblStellplatz[Stellplatz],0)),5),RIGHT(INDEX(tblStellplatz[SAP],MATCH(PlanLayout!AA7,tblStellplatz[Stellplatz],0)),4))),"?"))</f>
        <v/>
      </c>
      <c r="AB7" s="4">
        <f>IF(PlanLayout!AB7="","",PlanLayout!AB7&amp;CHAR(10)&amp;IFERROR(IF(INDEX(tblStellplatz[SAP],MATCH(PlanLayout!AB7,tblStellplatz[Stellplatz],0))="","leer",IF(LEFT(RIGHT(INDEX(tblStellplatz[SAP],MATCH(PlanLayout!AB7,tblStellplatz[Stellplatz],0)),4),1)="0",RIGHT(INDEX(tblStellplatz[SAP],MATCH(PlanLayout!AB7,tblStellplatz[Stellplatz],0)),5),RIGHT(INDEX(tblStellplatz[SAP],MATCH(PlanLayout!AB7,tblStellplatz[Stellplatz],0)),4))),"?"))</f>
        <v/>
      </c>
      <c r="AC7" s="4">
        <f>IF(PlanLayout!AC7="","",PlanLayout!AC7&amp;CHAR(10)&amp;IFERROR(IF(INDEX(tblStellplatz[SAP],MATCH(PlanLayout!AC7,tblStellplatz[Stellplatz],0))="","leer",IF(LEFT(RIGHT(INDEX(tblStellplatz[SAP],MATCH(PlanLayout!AC7,tblStellplatz[Stellplatz],0)),4),1)="0",RIGHT(INDEX(tblStellplatz[SAP],MATCH(PlanLayout!AC7,tblStellplatz[Stellplatz],0)),5),RIGHT(INDEX(tblStellplatz[SAP],MATCH(PlanLayout!AC7,tblStellplatz[Stellplatz],0)),4))),"?"))</f>
        <v/>
      </c>
      <c r="AD7" s="4">
        <f>IF(PlanLayout!AD7="","",PlanLayout!AD7&amp;CHAR(10)&amp;IFERROR(IF(INDEX(tblStellplatz[SAP],MATCH(PlanLayout!AD7,tblStellplatz[Stellplatz],0))="","leer",IF(LEFT(RIGHT(INDEX(tblStellplatz[SAP],MATCH(PlanLayout!AD7,tblStellplatz[Stellplatz],0)),4),1)="0",RIGHT(INDEX(tblStellplatz[SAP],MATCH(PlanLayout!AD7,tblStellplatz[Stellplatz],0)),5),RIGHT(INDEX(tblStellplatz[SAP],MATCH(PlanLayout!AD7,tblStellplatz[Stellplatz],0)),4))),"?"))</f>
        <v/>
      </c>
      <c r="AE7" s="4">
        <f>IF(PlanLayout!AE7="","",PlanLayout!AE7&amp;CHAR(10)&amp;IFERROR(IF(INDEX(tblStellplatz[SAP],MATCH(PlanLayout!AE7,tblStellplatz[Stellplatz],0))="","leer",IF(LEFT(RIGHT(INDEX(tblStellplatz[SAP],MATCH(PlanLayout!AE7,tblStellplatz[Stellplatz],0)),4),1)="0",RIGHT(INDEX(tblStellplatz[SAP],MATCH(PlanLayout!AE7,tblStellplatz[Stellplatz],0)),5),RIGHT(INDEX(tblStellplatz[SAP],MATCH(PlanLayout!AE7,tblStellplatz[Stellplatz],0)),4))),"?"))</f>
        <v/>
      </c>
      <c r="AF7" s="4">
        <f>IF(PlanLayout!AF7="","",PlanLayout!AF7&amp;CHAR(10)&amp;IFERROR(IF(INDEX(tblStellplatz[SAP],MATCH(PlanLayout!AF7,tblStellplatz[Stellplatz],0))="","leer",IF(LEFT(RIGHT(INDEX(tblStellplatz[SAP],MATCH(PlanLayout!AF7,tblStellplatz[Stellplatz],0)),4),1)="0",RIGHT(INDEX(tblStellplatz[SAP],MATCH(PlanLayout!AF7,tblStellplatz[Stellplatz],0)),5),RIGHT(INDEX(tblStellplatz[SAP],MATCH(PlanLayout!AF7,tblStellplatz[Stellplatz],0)),4))),"?"))</f>
        <v/>
      </c>
      <c r="AG7" s="4">
        <f>IF(PlanLayout!AG7="","",PlanLayout!AG7&amp;CHAR(10)&amp;IFERROR(IF(INDEX(tblStellplatz[SAP],MATCH(PlanLayout!AG7,tblStellplatz[Stellplatz],0))="","leer",IF(LEFT(RIGHT(INDEX(tblStellplatz[SAP],MATCH(PlanLayout!AG7,tblStellplatz[Stellplatz],0)),4),1)="0",RIGHT(INDEX(tblStellplatz[SAP],MATCH(PlanLayout!AG7,tblStellplatz[Stellplatz],0)),5),RIGHT(INDEX(tblStellplatz[SAP],MATCH(PlanLayout!AG7,tblStellplatz[Stellplatz],0)),4))),"?"))</f>
        <v/>
      </c>
      <c r="AH7" s="4">
        <f>IF(PlanLayout!AH7="","",PlanLayout!AH7&amp;CHAR(10)&amp;IFERROR(IF(INDEX(tblStellplatz[SAP],MATCH(PlanLayout!AH7,tblStellplatz[Stellplatz],0))="","leer",IF(LEFT(RIGHT(INDEX(tblStellplatz[SAP],MATCH(PlanLayout!AH7,tblStellplatz[Stellplatz],0)),4),1)="0",RIGHT(INDEX(tblStellplatz[SAP],MATCH(PlanLayout!AH7,tblStellplatz[Stellplatz],0)),5),RIGHT(INDEX(tblStellplatz[SAP],MATCH(PlanLayout!AH7,tblStellplatz[Stellplatz],0)),4))),"?"))</f>
        <v/>
      </c>
      <c r="AI7" s="4">
        <f>IF(PlanLayout!AI7="","",PlanLayout!AI7&amp;CHAR(10)&amp;IFERROR(IF(INDEX(tblStellplatz[SAP],MATCH(PlanLayout!AI7,tblStellplatz[Stellplatz],0))="","leer",IF(LEFT(RIGHT(INDEX(tblStellplatz[SAP],MATCH(PlanLayout!AI7,tblStellplatz[Stellplatz],0)),4),1)="0",RIGHT(INDEX(tblStellplatz[SAP],MATCH(PlanLayout!AI7,tblStellplatz[Stellplatz],0)),5),RIGHT(INDEX(tblStellplatz[SAP],MATCH(PlanLayout!AI7,tblStellplatz[Stellplatz],0)),4))),"?"))</f>
        <v/>
      </c>
      <c r="AJ7" s="4">
        <f>IF(PlanLayout!AJ7="","",PlanLayout!AJ7&amp;CHAR(10)&amp;IFERROR(IF(INDEX(tblStellplatz[SAP],MATCH(PlanLayout!AJ7,tblStellplatz[Stellplatz],0))="","leer",IF(LEFT(RIGHT(INDEX(tblStellplatz[SAP],MATCH(PlanLayout!AJ7,tblStellplatz[Stellplatz],0)),4),1)="0",RIGHT(INDEX(tblStellplatz[SAP],MATCH(PlanLayout!AJ7,tblStellplatz[Stellplatz],0)),5),RIGHT(INDEX(tblStellplatz[SAP],MATCH(PlanLayout!AJ7,tblStellplatz[Stellplatz],0)),4))),"?"))</f>
        <v/>
      </c>
      <c r="AK7" s="4">
        <f>IF(PlanLayout!AK7="","",PlanLayout!AK7&amp;CHAR(10)&amp;IFERROR(IF(INDEX(tblStellplatz[SAP],MATCH(PlanLayout!AK7,tblStellplatz[Stellplatz],0))="","leer",IF(LEFT(RIGHT(INDEX(tblStellplatz[SAP],MATCH(PlanLayout!AK7,tblStellplatz[Stellplatz],0)),4),1)="0",RIGHT(INDEX(tblStellplatz[SAP],MATCH(PlanLayout!AK7,tblStellplatz[Stellplatz],0)),5),RIGHT(INDEX(tblStellplatz[SAP],MATCH(PlanLayout!AK7,tblStellplatz[Stellplatz],0)),4))),"?"))</f>
        <v/>
      </c>
      <c r="AL7" s="4">
        <f>IF(PlanLayout!AL7="","",PlanLayout!AL7&amp;CHAR(10)&amp;IFERROR(IF(INDEX(tblStellplatz[SAP],MATCH(PlanLayout!AL7,tblStellplatz[Stellplatz],0))="","leer",IF(LEFT(RIGHT(INDEX(tblStellplatz[SAP],MATCH(PlanLayout!AL7,tblStellplatz[Stellplatz],0)),4),1)="0",RIGHT(INDEX(tblStellplatz[SAP],MATCH(PlanLayout!AL7,tblStellplatz[Stellplatz],0)),5),RIGHT(INDEX(tblStellplatz[SAP],MATCH(PlanLayout!AL7,tblStellplatz[Stellplatz],0)),4))),"?"))</f>
        <v/>
      </c>
      <c r="AM7" s="4">
        <f>IF(PlanLayout!AM7="","",PlanLayout!AM7&amp;CHAR(10)&amp;IFERROR(IF(INDEX(tblStellplatz[SAP],MATCH(PlanLayout!AM7,tblStellplatz[Stellplatz],0))="","leer",IF(LEFT(RIGHT(INDEX(tblStellplatz[SAP],MATCH(PlanLayout!AM7,tblStellplatz[Stellplatz],0)),4),1)="0",RIGHT(INDEX(tblStellplatz[SAP],MATCH(PlanLayout!AM7,tblStellplatz[Stellplatz],0)),5),RIGHT(INDEX(tblStellplatz[SAP],MATCH(PlanLayout!AM7,tblStellplatz[Stellplatz],0)),4))),"?"))</f>
        <v/>
      </c>
      <c r="AN7" s="4">
        <f>IF(PlanLayout!AN7="","",PlanLayout!AN7&amp;CHAR(10)&amp;IFERROR(IF(INDEX(tblStellplatz[SAP],MATCH(PlanLayout!AN7,tblStellplatz[Stellplatz],0))="","leer",IF(LEFT(RIGHT(INDEX(tblStellplatz[SAP],MATCH(PlanLayout!AN7,tblStellplatz[Stellplatz],0)),4),1)="0",RIGHT(INDEX(tblStellplatz[SAP],MATCH(PlanLayout!AN7,tblStellplatz[Stellplatz],0)),5),RIGHT(INDEX(tblStellplatz[SAP],MATCH(PlanLayout!AN7,tblStellplatz[Stellplatz],0)),4))),"?"))</f>
        <v/>
      </c>
      <c r="AO7" s="4">
        <f>IF(PlanLayout!AO7="","",PlanLayout!AO7&amp;CHAR(10)&amp;IFERROR(IF(INDEX(tblStellplatz[SAP],MATCH(PlanLayout!AO7,tblStellplatz[Stellplatz],0))="","leer",IF(LEFT(RIGHT(INDEX(tblStellplatz[SAP],MATCH(PlanLayout!AO7,tblStellplatz[Stellplatz],0)),4),1)="0",RIGHT(INDEX(tblStellplatz[SAP],MATCH(PlanLayout!AO7,tblStellplatz[Stellplatz],0)),5),RIGHT(INDEX(tblStellplatz[SAP],MATCH(PlanLayout!AO7,tblStellplatz[Stellplatz],0)),4))),"?"))</f>
        <v/>
      </c>
    </row>
    <row r="8" ht="30" customHeight="1">
      <c r="B8" s="4">
        <f>IF(PlanLayout!B8="","",PlanLayout!B8&amp;CHAR(10)&amp;IFERROR(IF(INDEX(tblStellplatz[SAP],MATCH(PlanLayout!B8,tblStellplatz[Stellplatz],0))="","leer",IF(LEFT(RIGHT(INDEX(tblStellplatz[SAP],MATCH(PlanLayout!B8,tblStellplatz[Stellplatz],0)),4),1)="0",RIGHT(INDEX(tblStellplatz[SAP],MATCH(PlanLayout!B8,tblStellplatz[Stellplatz],0)),5),RIGHT(INDEX(tblStellplatz[SAP],MATCH(PlanLayout!B8,tblStellplatz[Stellplatz],0)),4))),"?"))</f>
        <v/>
      </c>
      <c r="C8" s="4">
        <f>IF(PlanLayout!C8="","",PlanLayout!C8&amp;CHAR(10)&amp;IFERROR(IF(INDEX(tblStellplatz[SAP],MATCH(PlanLayout!C8,tblStellplatz[Stellplatz],0))="","leer",IF(LEFT(RIGHT(INDEX(tblStellplatz[SAP],MATCH(PlanLayout!C8,tblStellplatz[Stellplatz],0)),4),1)="0",RIGHT(INDEX(tblStellplatz[SAP],MATCH(PlanLayout!C8,tblStellplatz[Stellplatz],0)),5),RIGHT(INDEX(tblStellplatz[SAP],MATCH(PlanLayout!C8,tblStellplatz[Stellplatz],0)),4))),"?"))</f>
        <v/>
      </c>
      <c r="D8" s="4">
        <f>IF(PlanLayout!D8="","",PlanLayout!D8&amp;CHAR(10)&amp;IFERROR(IF(INDEX(tblStellplatz[SAP],MATCH(PlanLayout!D8,tblStellplatz[Stellplatz],0))="","leer",IF(LEFT(RIGHT(INDEX(tblStellplatz[SAP],MATCH(PlanLayout!D8,tblStellplatz[Stellplatz],0)),4),1)="0",RIGHT(INDEX(tblStellplatz[SAP],MATCH(PlanLayout!D8,tblStellplatz[Stellplatz],0)),5),RIGHT(INDEX(tblStellplatz[SAP],MATCH(PlanLayout!D8,tblStellplatz[Stellplatz],0)),4))),"?"))</f>
        <v/>
      </c>
      <c r="E8" s="4">
        <f>IF(PlanLayout!E8="","",PlanLayout!E8&amp;CHAR(10)&amp;IFERROR(IF(INDEX(tblStellplatz[SAP],MATCH(PlanLayout!E8,tblStellplatz[Stellplatz],0))="","leer",IF(LEFT(RIGHT(INDEX(tblStellplatz[SAP],MATCH(PlanLayout!E8,tblStellplatz[Stellplatz],0)),4),1)="0",RIGHT(INDEX(tblStellplatz[SAP],MATCH(PlanLayout!E8,tblStellplatz[Stellplatz],0)),5),RIGHT(INDEX(tblStellplatz[SAP],MATCH(PlanLayout!E8,tblStellplatz[Stellplatz],0)),4))),"?"))</f>
        <v/>
      </c>
      <c r="F8" s="4">
        <f>IF(PlanLayout!F8="","",PlanLayout!F8&amp;CHAR(10)&amp;IFERROR(IF(INDEX(tblStellplatz[SAP],MATCH(PlanLayout!F8,tblStellplatz[Stellplatz],0))="","leer",IF(LEFT(RIGHT(INDEX(tblStellplatz[SAP],MATCH(PlanLayout!F8,tblStellplatz[Stellplatz],0)),4),1)="0",RIGHT(INDEX(tblStellplatz[SAP],MATCH(PlanLayout!F8,tblStellplatz[Stellplatz],0)),5),RIGHT(INDEX(tblStellplatz[SAP],MATCH(PlanLayout!F8,tblStellplatz[Stellplatz],0)),4))),"?"))</f>
        <v/>
      </c>
      <c r="G8" s="4">
        <f>IF(PlanLayout!G8="","",PlanLayout!G8&amp;CHAR(10)&amp;IFERROR(IF(INDEX(tblStellplatz[SAP],MATCH(PlanLayout!G8,tblStellplatz[Stellplatz],0))="","leer",IF(LEFT(RIGHT(INDEX(tblStellplatz[SAP],MATCH(PlanLayout!G8,tblStellplatz[Stellplatz],0)),4),1)="0",RIGHT(INDEX(tblStellplatz[SAP],MATCH(PlanLayout!G8,tblStellplatz[Stellplatz],0)),5),RIGHT(INDEX(tblStellplatz[SAP],MATCH(PlanLayout!G8,tblStellplatz[Stellplatz],0)),4))),"?"))</f>
        <v/>
      </c>
      <c r="H8" s="4">
        <f>IF(PlanLayout!H8="","",PlanLayout!H8&amp;CHAR(10)&amp;IFERROR(IF(INDEX(tblStellplatz[SAP],MATCH(PlanLayout!H8,tblStellplatz[Stellplatz],0))="","leer",IF(LEFT(RIGHT(INDEX(tblStellplatz[SAP],MATCH(PlanLayout!H8,tblStellplatz[Stellplatz],0)),4),1)="0",RIGHT(INDEX(tblStellplatz[SAP],MATCH(PlanLayout!H8,tblStellplatz[Stellplatz],0)),5),RIGHT(INDEX(tblStellplatz[SAP],MATCH(PlanLayout!H8,tblStellplatz[Stellplatz],0)),4))),"?"))</f>
        <v/>
      </c>
      <c r="I8" s="4">
        <f>IF(PlanLayout!I8="","",PlanLayout!I8&amp;CHAR(10)&amp;IFERROR(IF(INDEX(tblStellplatz[SAP],MATCH(PlanLayout!I8,tblStellplatz[Stellplatz],0))="","leer",IF(LEFT(RIGHT(INDEX(tblStellplatz[SAP],MATCH(PlanLayout!I8,tblStellplatz[Stellplatz],0)),4),1)="0",RIGHT(INDEX(tblStellplatz[SAP],MATCH(PlanLayout!I8,tblStellplatz[Stellplatz],0)),5),RIGHT(INDEX(tblStellplatz[SAP],MATCH(PlanLayout!I8,tblStellplatz[Stellplatz],0)),4))),"?"))</f>
        <v/>
      </c>
      <c r="J8" s="4">
        <f>IF(PlanLayout!J8="","",PlanLayout!J8&amp;CHAR(10)&amp;IFERROR(IF(INDEX(tblStellplatz[SAP],MATCH(PlanLayout!J8,tblStellplatz[Stellplatz],0))="","leer",IF(LEFT(RIGHT(INDEX(tblStellplatz[SAP],MATCH(PlanLayout!J8,tblStellplatz[Stellplatz],0)),4),1)="0",RIGHT(INDEX(tblStellplatz[SAP],MATCH(PlanLayout!J8,tblStellplatz[Stellplatz],0)),5),RIGHT(INDEX(tblStellplatz[SAP],MATCH(PlanLayout!J8,tblStellplatz[Stellplatz],0)),4))),"?"))</f>
        <v/>
      </c>
      <c r="K8" s="4">
        <f>IF(PlanLayout!K8="","",PlanLayout!K8&amp;CHAR(10)&amp;IFERROR(IF(INDEX(tblStellplatz[SAP],MATCH(PlanLayout!K8,tblStellplatz[Stellplatz],0))="","leer",IF(LEFT(RIGHT(INDEX(tblStellplatz[SAP],MATCH(PlanLayout!K8,tblStellplatz[Stellplatz],0)),4),1)="0",RIGHT(INDEX(tblStellplatz[SAP],MATCH(PlanLayout!K8,tblStellplatz[Stellplatz],0)),5),RIGHT(INDEX(tblStellplatz[SAP],MATCH(PlanLayout!K8,tblStellplatz[Stellplatz],0)),4))),"?"))</f>
        <v/>
      </c>
      <c r="L8" s="4">
        <f>IF(PlanLayout!L8="","",PlanLayout!L8&amp;CHAR(10)&amp;IFERROR(IF(INDEX(tblStellplatz[SAP],MATCH(PlanLayout!L8,tblStellplatz[Stellplatz],0))="","leer",IF(LEFT(RIGHT(INDEX(tblStellplatz[SAP],MATCH(PlanLayout!L8,tblStellplatz[Stellplatz],0)),4),1)="0",RIGHT(INDEX(tblStellplatz[SAP],MATCH(PlanLayout!L8,tblStellplatz[Stellplatz],0)),5),RIGHT(INDEX(tblStellplatz[SAP],MATCH(PlanLayout!L8,tblStellplatz[Stellplatz],0)),4))),"?"))</f>
        <v/>
      </c>
      <c r="M8" s="4">
        <f>IF(PlanLayout!M8="","",PlanLayout!M8&amp;CHAR(10)&amp;IFERROR(IF(INDEX(tblStellplatz[SAP],MATCH(PlanLayout!M8,tblStellplatz[Stellplatz],0))="","leer",IF(LEFT(RIGHT(INDEX(tblStellplatz[SAP],MATCH(PlanLayout!M8,tblStellplatz[Stellplatz],0)),4),1)="0",RIGHT(INDEX(tblStellplatz[SAP],MATCH(PlanLayout!M8,tblStellplatz[Stellplatz],0)),5),RIGHT(INDEX(tblStellplatz[SAP],MATCH(PlanLayout!M8,tblStellplatz[Stellplatz],0)),4))),"?"))</f>
        <v/>
      </c>
      <c r="N8" s="4">
        <f>IF(PlanLayout!N8="","",PlanLayout!N8&amp;CHAR(10)&amp;IFERROR(IF(INDEX(tblStellplatz[SAP],MATCH(PlanLayout!N8,tblStellplatz[Stellplatz],0))="","leer",IF(LEFT(RIGHT(INDEX(tblStellplatz[SAP],MATCH(PlanLayout!N8,tblStellplatz[Stellplatz],0)),4),1)="0",RIGHT(INDEX(tblStellplatz[SAP],MATCH(PlanLayout!N8,tblStellplatz[Stellplatz],0)),5),RIGHT(INDEX(tblStellplatz[SAP],MATCH(PlanLayout!N8,tblStellplatz[Stellplatz],0)),4))),"?"))</f>
        <v/>
      </c>
      <c r="O8" s="4">
        <f>IF(PlanLayout!O8="","",PlanLayout!O8&amp;CHAR(10)&amp;IFERROR(IF(INDEX(tblStellplatz[SAP],MATCH(PlanLayout!O8,tblStellplatz[Stellplatz],0))="","leer",IF(LEFT(RIGHT(INDEX(tblStellplatz[SAP],MATCH(PlanLayout!O8,tblStellplatz[Stellplatz],0)),4),1)="0",RIGHT(INDEX(tblStellplatz[SAP],MATCH(PlanLayout!O8,tblStellplatz[Stellplatz],0)),5),RIGHT(INDEX(tblStellplatz[SAP],MATCH(PlanLayout!O8,tblStellplatz[Stellplatz],0)),4))),"?"))</f>
        <v/>
      </c>
      <c r="P8" s="4">
        <f>IF(PlanLayout!P8="","",PlanLayout!P8&amp;CHAR(10)&amp;IFERROR(IF(INDEX(tblStellplatz[SAP],MATCH(PlanLayout!P8,tblStellplatz[Stellplatz],0))="","leer",IF(LEFT(RIGHT(INDEX(tblStellplatz[SAP],MATCH(PlanLayout!P8,tblStellplatz[Stellplatz],0)),4),1)="0",RIGHT(INDEX(tblStellplatz[SAP],MATCH(PlanLayout!P8,tblStellplatz[Stellplatz],0)),5),RIGHT(INDEX(tblStellplatz[SAP],MATCH(PlanLayout!P8,tblStellplatz[Stellplatz],0)),4))),"?"))</f>
        <v/>
      </c>
      <c r="Q8" s="4">
        <f>IF(PlanLayout!Q8="","",PlanLayout!Q8&amp;CHAR(10)&amp;IFERROR(IF(INDEX(tblStellplatz[SAP],MATCH(PlanLayout!Q8,tblStellplatz[Stellplatz],0))="","leer",IF(LEFT(RIGHT(INDEX(tblStellplatz[SAP],MATCH(PlanLayout!Q8,tblStellplatz[Stellplatz],0)),4),1)="0",RIGHT(INDEX(tblStellplatz[SAP],MATCH(PlanLayout!Q8,tblStellplatz[Stellplatz],0)),5),RIGHT(INDEX(tblStellplatz[SAP],MATCH(PlanLayout!Q8,tblStellplatz[Stellplatz],0)),4))),"?"))</f>
        <v/>
      </c>
      <c r="R8" s="4">
        <f>IF(PlanLayout!R8="","",PlanLayout!R8&amp;CHAR(10)&amp;IFERROR(IF(INDEX(tblStellplatz[SAP],MATCH(PlanLayout!R8,tblStellplatz[Stellplatz],0))="","leer",IF(LEFT(RIGHT(INDEX(tblStellplatz[SAP],MATCH(PlanLayout!R8,tblStellplatz[Stellplatz],0)),4),1)="0",RIGHT(INDEX(tblStellplatz[SAP],MATCH(PlanLayout!R8,tblStellplatz[Stellplatz],0)),5),RIGHT(INDEX(tblStellplatz[SAP],MATCH(PlanLayout!R8,tblStellplatz[Stellplatz],0)),4))),"?"))</f>
        <v/>
      </c>
      <c r="S8" s="4">
        <f>IF(PlanLayout!S8="","",PlanLayout!S8&amp;CHAR(10)&amp;IFERROR(IF(INDEX(tblStellplatz[SAP],MATCH(PlanLayout!S8,tblStellplatz[Stellplatz],0))="","leer",IF(LEFT(RIGHT(INDEX(tblStellplatz[SAP],MATCH(PlanLayout!S8,tblStellplatz[Stellplatz],0)),4),1)="0",RIGHT(INDEX(tblStellplatz[SAP],MATCH(PlanLayout!S8,tblStellplatz[Stellplatz],0)),5),RIGHT(INDEX(tblStellplatz[SAP],MATCH(PlanLayout!S8,tblStellplatz[Stellplatz],0)),4))),"?"))</f>
        <v/>
      </c>
      <c r="T8" s="4">
        <f>IF(PlanLayout!T8="","",PlanLayout!T8&amp;CHAR(10)&amp;IFERROR(IF(INDEX(tblStellplatz[SAP],MATCH(PlanLayout!T8,tblStellplatz[Stellplatz],0))="","leer",IF(LEFT(RIGHT(INDEX(tblStellplatz[SAP],MATCH(PlanLayout!T8,tblStellplatz[Stellplatz],0)),4),1)="0",RIGHT(INDEX(tblStellplatz[SAP],MATCH(PlanLayout!T8,tblStellplatz[Stellplatz],0)),5),RIGHT(INDEX(tblStellplatz[SAP],MATCH(PlanLayout!T8,tblStellplatz[Stellplatz],0)),4))),"?"))</f>
        <v/>
      </c>
      <c r="U8" s="4">
        <f>IF(PlanLayout!U8="","",PlanLayout!U8&amp;CHAR(10)&amp;IFERROR(IF(INDEX(tblStellplatz[SAP],MATCH(PlanLayout!U8,tblStellplatz[Stellplatz],0))="","leer",IF(LEFT(RIGHT(INDEX(tblStellplatz[SAP],MATCH(PlanLayout!U8,tblStellplatz[Stellplatz],0)),4),1)="0",RIGHT(INDEX(tblStellplatz[SAP],MATCH(PlanLayout!U8,tblStellplatz[Stellplatz],0)),5),RIGHT(INDEX(tblStellplatz[SAP],MATCH(PlanLayout!U8,tblStellplatz[Stellplatz],0)),4))),"?"))</f>
        <v/>
      </c>
      <c r="V8" s="4">
        <f>IF(PlanLayout!V8="","",PlanLayout!V8&amp;CHAR(10)&amp;IFERROR(IF(INDEX(tblStellplatz[SAP],MATCH(PlanLayout!V8,tblStellplatz[Stellplatz],0))="","leer",IF(LEFT(RIGHT(INDEX(tblStellplatz[SAP],MATCH(PlanLayout!V8,tblStellplatz[Stellplatz],0)),4),1)="0",RIGHT(INDEX(tblStellplatz[SAP],MATCH(PlanLayout!V8,tblStellplatz[Stellplatz],0)),5),RIGHT(INDEX(tblStellplatz[SAP],MATCH(PlanLayout!V8,tblStellplatz[Stellplatz],0)),4))),"?"))</f>
        <v/>
      </c>
      <c r="W8" s="4">
        <f>IF(PlanLayout!W8="","",PlanLayout!W8&amp;CHAR(10)&amp;IFERROR(IF(INDEX(tblStellplatz[SAP],MATCH(PlanLayout!W8,tblStellplatz[Stellplatz],0))="","leer",IF(LEFT(RIGHT(INDEX(tblStellplatz[SAP],MATCH(PlanLayout!W8,tblStellplatz[Stellplatz],0)),4),1)="0",RIGHT(INDEX(tblStellplatz[SAP],MATCH(PlanLayout!W8,tblStellplatz[Stellplatz],0)),5),RIGHT(INDEX(tblStellplatz[SAP],MATCH(PlanLayout!W8,tblStellplatz[Stellplatz],0)),4))),"?"))</f>
        <v/>
      </c>
      <c r="X8" s="4">
        <f>IF(PlanLayout!X8="","",PlanLayout!X8&amp;CHAR(10)&amp;IFERROR(IF(INDEX(tblStellplatz[SAP],MATCH(PlanLayout!X8,tblStellplatz[Stellplatz],0))="","leer",IF(LEFT(RIGHT(INDEX(tblStellplatz[SAP],MATCH(PlanLayout!X8,tblStellplatz[Stellplatz],0)),4),1)="0",RIGHT(INDEX(tblStellplatz[SAP],MATCH(PlanLayout!X8,tblStellplatz[Stellplatz],0)),5),RIGHT(INDEX(tblStellplatz[SAP],MATCH(PlanLayout!X8,tblStellplatz[Stellplatz],0)),4))),"?"))</f>
        <v/>
      </c>
      <c r="Y8" s="4">
        <f>IF(PlanLayout!Y8="","",PlanLayout!Y8&amp;CHAR(10)&amp;IFERROR(IF(INDEX(tblStellplatz[SAP],MATCH(PlanLayout!Y8,tblStellplatz[Stellplatz],0))="","leer",IF(LEFT(RIGHT(INDEX(tblStellplatz[SAP],MATCH(PlanLayout!Y8,tblStellplatz[Stellplatz],0)),4),1)="0",RIGHT(INDEX(tblStellplatz[SAP],MATCH(PlanLayout!Y8,tblStellplatz[Stellplatz],0)),5),RIGHT(INDEX(tblStellplatz[SAP],MATCH(PlanLayout!Y8,tblStellplatz[Stellplatz],0)),4))),"?"))</f>
        <v/>
      </c>
      <c r="Z8" s="4">
        <f>IF(PlanLayout!Z8="","",PlanLayout!Z8&amp;CHAR(10)&amp;IFERROR(IF(INDEX(tblStellplatz[SAP],MATCH(PlanLayout!Z8,tblStellplatz[Stellplatz],0))="","leer",IF(LEFT(RIGHT(INDEX(tblStellplatz[SAP],MATCH(PlanLayout!Z8,tblStellplatz[Stellplatz],0)),4),1)="0",RIGHT(INDEX(tblStellplatz[SAP],MATCH(PlanLayout!Z8,tblStellplatz[Stellplatz],0)),5),RIGHT(INDEX(tblStellplatz[SAP],MATCH(PlanLayout!Z8,tblStellplatz[Stellplatz],0)),4))),"?"))</f>
        <v/>
      </c>
      <c r="AA8" s="4">
        <f>IF(PlanLayout!AA8="","",PlanLayout!AA8&amp;CHAR(10)&amp;IFERROR(IF(INDEX(tblStellplatz[SAP],MATCH(PlanLayout!AA8,tblStellplatz[Stellplatz],0))="","leer",IF(LEFT(RIGHT(INDEX(tblStellplatz[SAP],MATCH(PlanLayout!AA8,tblStellplatz[Stellplatz],0)),4),1)="0",RIGHT(INDEX(tblStellplatz[SAP],MATCH(PlanLayout!AA8,tblStellplatz[Stellplatz],0)),5),RIGHT(INDEX(tblStellplatz[SAP],MATCH(PlanLayout!AA8,tblStellplatz[Stellplatz],0)),4))),"?"))</f>
        <v/>
      </c>
      <c r="AB8" s="4">
        <f>IF(PlanLayout!AB8="","",PlanLayout!AB8&amp;CHAR(10)&amp;IFERROR(IF(INDEX(tblStellplatz[SAP],MATCH(PlanLayout!AB8,tblStellplatz[Stellplatz],0))="","leer",IF(LEFT(RIGHT(INDEX(tblStellplatz[SAP],MATCH(PlanLayout!AB8,tblStellplatz[Stellplatz],0)),4),1)="0",RIGHT(INDEX(tblStellplatz[SAP],MATCH(PlanLayout!AB8,tblStellplatz[Stellplatz],0)),5),RIGHT(INDEX(tblStellplatz[SAP],MATCH(PlanLayout!AB8,tblStellplatz[Stellplatz],0)),4))),"?"))</f>
        <v/>
      </c>
      <c r="AC8" s="4">
        <f>IF(PlanLayout!AC8="","",PlanLayout!AC8&amp;CHAR(10)&amp;IFERROR(IF(INDEX(tblStellplatz[SAP],MATCH(PlanLayout!AC8,tblStellplatz[Stellplatz],0))="","leer",IF(LEFT(RIGHT(INDEX(tblStellplatz[SAP],MATCH(PlanLayout!AC8,tblStellplatz[Stellplatz],0)),4),1)="0",RIGHT(INDEX(tblStellplatz[SAP],MATCH(PlanLayout!AC8,tblStellplatz[Stellplatz],0)),5),RIGHT(INDEX(tblStellplatz[SAP],MATCH(PlanLayout!AC8,tblStellplatz[Stellplatz],0)),4))),"?"))</f>
        <v/>
      </c>
      <c r="AD8" s="4">
        <f>IF(PlanLayout!AD8="","",PlanLayout!AD8&amp;CHAR(10)&amp;IFERROR(IF(INDEX(tblStellplatz[SAP],MATCH(PlanLayout!AD8,tblStellplatz[Stellplatz],0))="","leer",IF(LEFT(RIGHT(INDEX(tblStellplatz[SAP],MATCH(PlanLayout!AD8,tblStellplatz[Stellplatz],0)),4),1)="0",RIGHT(INDEX(tblStellplatz[SAP],MATCH(PlanLayout!AD8,tblStellplatz[Stellplatz],0)),5),RIGHT(INDEX(tblStellplatz[SAP],MATCH(PlanLayout!AD8,tblStellplatz[Stellplatz],0)),4))),"?"))</f>
        <v/>
      </c>
      <c r="AE8" s="4">
        <f>IF(PlanLayout!AE8="","",PlanLayout!AE8&amp;CHAR(10)&amp;IFERROR(IF(INDEX(tblStellplatz[SAP],MATCH(PlanLayout!AE8,tblStellplatz[Stellplatz],0))="","leer",IF(LEFT(RIGHT(INDEX(tblStellplatz[SAP],MATCH(PlanLayout!AE8,tblStellplatz[Stellplatz],0)),4),1)="0",RIGHT(INDEX(tblStellplatz[SAP],MATCH(PlanLayout!AE8,tblStellplatz[Stellplatz],0)),5),RIGHT(INDEX(tblStellplatz[SAP],MATCH(PlanLayout!AE8,tblStellplatz[Stellplatz],0)),4))),"?"))</f>
        <v/>
      </c>
      <c r="AF8" s="4">
        <f>IF(PlanLayout!AF8="","",PlanLayout!AF8&amp;CHAR(10)&amp;IFERROR(IF(INDEX(tblStellplatz[SAP],MATCH(PlanLayout!AF8,tblStellplatz[Stellplatz],0))="","leer",IF(LEFT(RIGHT(INDEX(tblStellplatz[SAP],MATCH(PlanLayout!AF8,tblStellplatz[Stellplatz],0)),4),1)="0",RIGHT(INDEX(tblStellplatz[SAP],MATCH(PlanLayout!AF8,tblStellplatz[Stellplatz],0)),5),RIGHT(INDEX(tblStellplatz[SAP],MATCH(PlanLayout!AF8,tblStellplatz[Stellplatz],0)),4))),"?"))</f>
        <v/>
      </c>
      <c r="AG8" s="4">
        <f>IF(PlanLayout!AG8="","",PlanLayout!AG8&amp;CHAR(10)&amp;IFERROR(IF(INDEX(tblStellplatz[SAP],MATCH(PlanLayout!AG8,tblStellplatz[Stellplatz],0))="","leer",IF(LEFT(RIGHT(INDEX(tblStellplatz[SAP],MATCH(PlanLayout!AG8,tblStellplatz[Stellplatz],0)),4),1)="0",RIGHT(INDEX(tblStellplatz[SAP],MATCH(PlanLayout!AG8,tblStellplatz[Stellplatz],0)),5),RIGHT(INDEX(tblStellplatz[SAP],MATCH(PlanLayout!AG8,tblStellplatz[Stellplatz],0)),4))),"?"))</f>
        <v/>
      </c>
      <c r="AH8" s="4">
        <f>IF(PlanLayout!AH8="","",PlanLayout!AH8&amp;CHAR(10)&amp;IFERROR(IF(INDEX(tblStellplatz[SAP],MATCH(PlanLayout!AH8,tblStellplatz[Stellplatz],0))="","leer",IF(LEFT(RIGHT(INDEX(tblStellplatz[SAP],MATCH(PlanLayout!AH8,tblStellplatz[Stellplatz],0)),4),1)="0",RIGHT(INDEX(tblStellplatz[SAP],MATCH(PlanLayout!AH8,tblStellplatz[Stellplatz],0)),5),RIGHT(INDEX(tblStellplatz[SAP],MATCH(PlanLayout!AH8,tblStellplatz[Stellplatz],0)),4))),"?"))</f>
        <v/>
      </c>
      <c r="AI8" s="4">
        <f>IF(PlanLayout!AI8="","",PlanLayout!AI8&amp;CHAR(10)&amp;IFERROR(IF(INDEX(tblStellplatz[SAP],MATCH(PlanLayout!AI8,tblStellplatz[Stellplatz],0))="","leer",IF(LEFT(RIGHT(INDEX(tblStellplatz[SAP],MATCH(PlanLayout!AI8,tblStellplatz[Stellplatz],0)),4),1)="0",RIGHT(INDEX(tblStellplatz[SAP],MATCH(PlanLayout!AI8,tblStellplatz[Stellplatz],0)),5),RIGHT(INDEX(tblStellplatz[SAP],MATCH(PlanLayout!AI8,tblStellplatz[Stellplatz],0)),4))),"?"))</f>
        <v/>
      </c>
      <c r="AJ8" s="4">
        <f>IF(PlanLayout!AJ8="","",PlanLayout!AJ8&amp;CHAR(10)&amp;IFERROR(IF(INDEX(tblStellplatz[SAP],MATCH(PlanLayout!AJ8,tblStellplatz[Stellplatz],0))="","leer",IF(LEFT(RIGHT(INDEX(tblStellplatz[SAP],MATCH(PlanLayout!AJ8,tblStellplatz[Stellplatz],0)),4),1)="0",RIGHT(INDEX(tblStellplatz[SAP],MATCH(PlanLayout!AJ8,tblStellplatz[Stellplatz],0)),5),RIGHT(INDEX(tblStellplatz[SAP],MATCH(PlanLayout!AJ8,tblStellplatz[Stellplatz],0)),4))),"?"))</f>
        <v/>
      </c>
      <c r="AK8" s="4">
        <f>IF(PlanLayout!AK8="","",PlanLayout!AK8&amp;CHAR(10)&amp;IFERROR(IF(INDEX(tblStellplatz[SAP],MATCH(PlanLayout!AK8,tblStellplatz[Stellplatz],0))="","leer",IF(LEFT(RIGHT(INDEX(tblStellplatz[SAP],MATCH(PlanLayout!AK8,tblStellplatz[Stellplatz],0)),4),1)="0",RIGHT(INDEX(tblStellplatz[SAP],MATCH(PlanLayout!AK8,tblStellplatz[Stellplatz],0)),5),RIGHT(INDEX(tblStellplatz[SAP],MATCH(PlanLayout!AK8,tblStellplatz[Stellplatz],0)),4))),"?"))</f>
        <v/>
      </c>
      <c r="AL8" s="4">
        <f>IF(PlanLayout!AL8="","",PlanLayout!AL8&amp;CHAR(10)&amp;IFERROR(IF(INDEX(tblStellplatz[SAP],MATCH(PlanLayout!AL8,tblStellplatz[Stellplatz],0))="","leer",IF(LEFT(RIGHT(INDEX(tblStellplatz[SAP],MATCH(PlanLayout!AL8,tblStellplatz[Stellplatz],0)),4),1)="0",RIGHT(INDEX(tblStellplatz[SAP],MATCH(PlanLayout!AL8,tblStellplatz[Stellplatz],0)),5),RIGHT(INDEX(tblStellplatz[SAP],MATCH(PlanLayout!AL8,tblStellplatz[Stellplatz],0)),4))),"?"))</f>
        <v/>
      </c>
      <c r="AM8" s="4">
        <f>IF(PlanLayout!AM8="","",PlanLayout!AM8&amp;CHAR(10)&amp;IFERROR(IF(INDEX(tblStellplatz[SAP],MATCH(PlanLayout!AM8,tblStellplatz[Stellplatz],0))="","leer",IF(LEFT(RIGHT(INDEX(tblStellplatz[SAP],MATCH(PlanLayout!AM8,tblStellplatz[Stellplatz],0)),4),1)="0",RIGHT(INDEX(tblStellplatz[SAP],MATCH(PlanLayout!AM8,tblStellplatz[Stellplatz],0)),5),RIGHT(INDEX(tblStellplatz[SAP],MATCH(PlanLayout!AM8,tblStellplatz[Stellplatz],0)),4))),"?"))</f>
        <v/>
      </c>
      <c r="AN8" s="4">
        <f>IF(PlanLayout!AN8="","",PlanLayout!AN8&amp;CHAR(10)&amp;IFERROR(IF(INDEX(tblStellplatz[SAP],MATCH(PlanLayout!AN8,tblStellplatz[Stellplatz],0))="","leer",IF(LEFT(RIGHT(INDEX(tblStellplatz[SAP],MATCH(PlanLayout!AN8,tblStellplatz[Stellplatz],0)),4),1)="0",RIGHT(INDEX(tblStellplatz[SAP],MATCH(PlanLayout!AN8,tblStellplatz[Stellplatz],0)),5),RIGHT(INDEX(tblStellplatz[SAP],MATCH(PlanLayout!AN8,tblStellplatz[Stellplatz],0)),4))),"?"))</f>
        <v/>
      </c>
      <c r="AO8" s="4">
        <f>IF(PlanLayout!AO8="","",PlanLayout!AO8&amp;CHAR(10)&amp;IFERROR(IF(INDEX(tblStellplatz[SAP],MATCH(PlanLayout!AO8,tblStellplatz[Stellplatz],0))="","leer",IF(LEFT(RIGHT(INDEX(tblStellplatz[SAP],MATCH(PlanLayout!AO8,tblStellplatz[Stellplatz],0)),4),1)="0",RIGHT(INDEX(tblStellplatz[SAP],MATCH(PlanLayout!AO8,tblStellplatz[Stellplatz],0)),5),RIGHT(INDEX(tblStellplatz[SAP],MATCH(PlanLayout!AO8,tblStellplatz[Stellplatz],0)),4))),"?"))</f>
        <v/>
      </c>
    </row>
    <row r="9" ht="30" customHeight="1">
      <c r="B9" s="4">
        <f>IF(PlanLayout!B9="","",PlanLayout!B9&amp;CHAR(10)&amp;IFERROR(IF(INDEX(tblStellplatz[SAP],MATCH(PlanLayout!B9,tblStellplatz[Stellplatz],0))="","leer",IF(LEFT(RIGHT(INDEX(tblStellplatz[SAP],MATCH(PlanLayout!B9,tblStellplatz[Stellplatz],0)),4),1)="0",RIGHT(INDEX(tblStellplatz[SAP],MATCH(PlanLayout!B9,tblStellplatz[Stellplatz],0)),5),RIGHT(INDEX(tblStellplatz[SAP],MATCH(PlanLayout!B9,tblStellplatz[Stellplatz],0)),4))),"?"))</f>
        <v/>
      </c>
      <c r="C9" s="4">
        <f>IF(PlanLayout!C9="","",PlanLayout!C9&amp;CHAR(10)&amp;IFERROR(IF(INDEX(tblStellplatz[SAP],MATCH(PlanLayout!C9,tblStellplatz[Stellplatz],0))="","leer",IF(LEFT(RIGHT(INDEX(tblStellplatz[SAP],MATCH(PlanLayout!C9,tblStellplatz[Stellplatz],0)),4),1)="0",RIGHT(INDEX(tblStellplatz[SAP],MATCH(PlanLayout!C9,tblStellplatz[Stellplatz],0)),5),RIGHT(INDEX(tblStellplatz[SAP],MATCH(PlanLayout!C9,tblStellplatz[Stellplatz],0)),4))),"?"))</f>
        <v/>
      </c>
      <c r="D9" s="4">
        <f>IF(PlanLayout!D9="","",PlanLayout!D9&amp;CHAR(10)&amp;IFERROR(IF(INDEX(tblStellplatz[SAP],MATCH(PlanLayout!D9,tblStellplatz[Stellplatz],0))="","leer",IF(LEFT(RIGHT(INDEX(tblStellplatz[SAP],MATCH(PlanLayout!D9,tblStellplatz[Stellplatz],0)),4),1)="0",RIGHT(INDEX(tblStellplatz[SAP],MATCH(PlanLayout!D9,tblStellplatz[Stellplatz],0)),5),RIGHT(INDEX(tblStellplatz[SAP],MATCH(PlanLayout!D9,tblStellplatz[Stellplatz],0)),4))),"?"))</f>
        <v/>
      </c>
      <c r="E9" s="4">
        <f>IF(PlanLayout!E9="","",PlanLayout!E9&amp;CHAR(10)&amp;IFERROR(IF(INDEX(tblStellplatz[SAP],MATCH(PlanLayout!E9,tblStellplatz[Stellplatz],0))="","leer",IF(LEFT(RIGHT(INDEX(tblStellplatz[SAP],MATCH(PlanLayout!E9,tblStellplatz[Stellplatz],0)),4),1)="0",RIGHT(INDEX(tblStellplatz[SAP],MATCH(PlanLayout!E9,tblStellplatz[Stellplatz],0)),5),RIGHT(INDEX(tblStellplatz[SAP],MATCH(PlanLayout!E9,tblStellplatz[Stellplatz],0)),4))),"?"))</f>
        <v/>
      </c>
      <c r="F9" s="4">
        <f>IF(PlanLayout!F9="","",PlanLayout!F9&amp;CHAR(10)&amp;IFERROR(IF(INDEX(tblStellplatz[SAP],MATCH(PlanLayout!F9,tblStellplatz[Stellplatz],0))="","leer",IF(LEFT(RIGHT(INDEX(tblStellplatz[SAP],MATCH(PlanLayout!F9,tblStellplatz[Stellplatz],0)),4),1)="0",RIGHT(INDEX(tblStellplatz[SAP],MATCH(PlanLayout!F9,tblStellplatz[Stellplatz],0)),5),RIGHT(INDEX(tblStellplatz[SAP],MATCH(PlanLayout!F9,tblStellplatz[Stellplatz],0)),4))),"?"))</f>
        <v/>
      </c>
      <c r="G9" s="4">
        <f>IF(PlanLayout!G9="","",PlanLayout!G9&amp;CHAR(10)&amp;IFERROR(IF(INDEX(tblStellplatz[SAP],MATCH(PlanLayout!G9,tblStellplatz[Stellplatz],0))="","leer",IF(LEFT(RIGHT(INDEX(tblStellplatz[SAP],MATCH(PlanLayout!G9,tblStellplatz[Stellplatz],0)),4),1)="0",RIGHT(INDEX(tblStellplatz[SAP],MATCH(PlanLayout!G9,tblStellplatz[Stellplatz],0)),5),RIGHT(INDEX(tblStellplatz[SAP],MATCH(PlanLayout!G9,tblStellplatz[Stellplatz],0)),4))),"?"))</f>
        <v/>
      </c>
      <c r="H9" s="4">
        <f>IF(PlanLayout!H9="","",PlanLayout!H9&amp;CHAR(10)&amp;IFERROR(IF(INDEX(tblStellplatz[SAP],MATCH(PlanLayout!H9,tblStellplatz[Stellplatz],0))="","leer",IF(LEFT(RIGHT(INDEX(tblStellplatz[SAP],MATCH(PlanLayout!H9,tblStellplatz[Stellplatz],0)),4),1)="0",RIGHT(INDEX(tblStellplatz[SAP],MATCH(PlanLayout!H9,tblStellplatz[Stellplatz],0)),5),RIGHT(INDEX(tblStellplatz[SAP],MATCH(PlanLayout!H9,tblStellplatz[Stellplatz],0)),4))),"?"))</f>
        <v/>
      </c>
      <c r="I9" s="4">
        <f>IF(PlanLayout!I9="","",PlanLayout!I9&amp;CHAR(10)&amp;IFERROR(IF(INDEX(tblStellplatz[SAP],MATCH(PlanLayout!I9,tblStellplatz[Stellplatz],0))="","leer",IF(LEFT(RIGHT(INDEX(tblStellplatz[SAP],MATCH(PlanLayout!I9,tblStellplatz[Stellplatz],0)),4),1)="0",RIGHT(INDEX(tblStellplatz[SAP],MATCH(PlanLayout!I9,tblStellplatz[Stellplatz],0)),5),RIGHT(INDEX(tblStellplatz[SAP],MATCH(PlanLayout!I9,tblStellplatz[Stellplatz],0)),4))),"?"))</f>
        <v/>
      </c>
      <c r="J9" s="4">
        <f>IF(PlanLayout!J9="","",PlanLayout!J9&amp;CHAR(10)&amp;IFERROR(IF(INDEX(tblStellplatz[SAP],MATCH(PlanLayout!J9,tblStellplatz[Stellplatz],0))="","leer",IF(LEFT(RIGHT(INDEX(tblStellplatz[SAP],MATCH(PlanLayout!J9,tblStellplatz[Stellplatz],0)),4),1)="0",RIGHT(INDEX(tblStellplatz[SAP],MATCH(PlanLayout!J9,tblStellplatz[Stellplatz],0)),5),RIGHT(INDEX(tblStellplatz[SAP],MATCH(PlanLayout!J9,tblStellplatz[Stellplatz],0)),4))),"?"))</f>
        <v/>
      </c>
      <c r="K9" s="4">
        <f>IF(PlanLayout!K9="","",PlanLayout!K9&amp;CHAR(10)&amp;IFERROR(IF(INDEX(tblStellplatz[SAP],MATCH(PlanLayout!K9,tblStellplatz[Stellplatz],0))="","leer",IF(LEFT(RIGHT(INDEX(tblStellplatz[SAP],MATCH(PlanLayout!K9,tblStellplatz[Stellplatz],0)),4),1)="0",RIGHT(INDEX(tblStellplatz[SAP],MATCH(PlanLayout!K9,tblStellplatz[Stellplatz],0)),5),RIGHT(INDEX(tblStellplatz[SAP],MATCH(PlanLayout!K9,tblStellplatz[Stellplatz],0)),4))),"?"))</f>
        <v/>
      </c>
      <c r="L9" s="4">
        <f>IF(PlanLayout!L9="","",PlanLayout!L9&amp;CHAR(10)&amp;IFERROR(IF(INDEX(tblStellplatz[SAP],MATCH(PlanLayout!L9,tblStellplatz[Stellplatz],0))="","leer",IF(LEFT(RIGHT(INDEX(tblStellplatz[SAP],MATCH(PlanLayout!L9,tblStellplatz[Stellplatz],0)),4),1)="0",RIGHT(INDEX(tblStellplatz[SAP],MATCH(PlanLayout!L9,tblStellplatz[Stellplatz],0)),5),RIGHT(INDEX(tblStellplatz[SAP],MATCH(PlanLayout!L9,tblStellplatz[Stellplatz],0)),4))),"?"))</f>
        <v/>
      </c>
      <c r="M9" s="4">
        <f>IF(PlanLayout!M9="","",PlanLayout!M9&amp;CHAR(10)&amp;IFERROR(IF(INDEX(tblStellplatz[SAP],MATCH(PlanLayout!M9,tblStellplatz[Stellplatz],0))="","leer",IF(LEFT(RIGHT(INDEX(tblStellplatz[SAP],MATCH(PlanLayout!M9,tblStellplatz[Stellplatz],0)),4),1)="0",RIGHT(INDEX(tblStellplatz[SAP],MATCH(PlanLayout!M9,tblStellplatz[Stellplatz],0)),5),RIGHT(INDEX(tblStellplatz[SAP],MATCH(PlanLayout!M9,tblStellplatz[Stellplatz],0)),4))),"?"))</f>
        <v/>
      </c>
      <c r="N9" s="4">
        <f>IF(PlanLayout!N9="","",PlanLayout!N9&amp;CHAR(10)&amp;IFERROR(IF(INDEX(tblStellplatz[SAP],MATCH(PlanLayout!N9,tblStellplatz[Stellplatz],0))="","leer",IF(LEFT(RIGHT(INDEX(tblStellplatz[SAP],MATCH(PlanLayout!N9,tblStellplatz[Stellplatz],0)),4),1)="0",RIGHT(INDEX(tblStellplatz[SAP],MATCH(PlanLayout!N9,tblStellplatz[Stellplatz],0)),5),RIGHT(INDEX(tblStellplatz[SAP],MATCH(PlanLayout!N9,tblStellplatz[Stellplatz],0)),4))),"?"))</f>
        <v/>
      </c>
      <c r="O9" s="4">
        <f>IF(PlanLayout!O9="","",PlanLayout!O9&amp;CHAR(10)&amp;IFERROR(IF(INDEX(tblStellplatz[SAP],MATCH(PlanLayout!O9,tblStellplatz[Stellplatz],0))="","leer",IF(LEFT(RIGHT(INDEX(tblStellplatz[SAP],MATCH(PlanLayout!O9,tblStellplatz[Stellplatz],0)),4),1)="0",RIGHT(INDEX(tblStellplatz[SAP],MATCH(PlanLayout!O9,tblStellplatz[Stellplatz],0)),5),RIGHT(INDEX(tblStellplatz[SAP],MATCH(PlanLayout!O9,tblStellplatz[Stellplatz],0)),4))),"?"))</f>
        <v/>
      </c>
      <c r="P9" s="4">
        <f>IF(PlanLayout!P9="","",PlanLayout!P9&amp;CHAR(10)&amp;IFERROR(IF(INDEX(tblStellplatz[SAP],MATCH(PlanLayout!P9,tblStellplatz[Stellplatz],0))="","leer",IF(LEFT(RIGHT(INDEX(tblStellplatz[SAP],MATCH(PlanLayout!P9,tblStellplatz[Stellplatz],0)),4),1)="0",RIGHT(INDEX(tblStellplatz[SAP],MATCH(PlanLayout!P9,tblStellplatz[Stellplatz],0)),5),RIGHT(INDEX(tblStellplatz[SAP],MATCH(PlanLayout!P9,tblStellplatz[Stellplatz],0)),4))),"?"))</f>
        <v/>
      </c>
      <c r="Q9" s="4">
        <f>IF(PlanLayout!Q9="","",PlanLayout!Q9&amp;CHAR(10)&amp;IFERROR(IF(INDEX(tblStellplatz[SAP],MATCH(PlanLayout!Q9,tblStellplatz[Stellplatz],0))="","leer",IF(LEFT(RIGHT(INDEX(tblStellplatz[SAP],MATCH(PlanLayout!Q9,tblStellplatz[Stellplatz],0)),4),1)="0",RIGHT(INDEX(tblStellplatz[SAP],MATCH(PlanLayout!Q9,tblStellplatz[Stellplatz],0)),5),RIGHT(INDEX(tblStellplatz[SAP],MATCH(PlanLayout!Q9,tblStellplatz[Stellplatz],0)),4))),"?"))</f>
        <v/>
      </c>
      <c r="R9" s="4">
        <f>IF(PlanLayout!R9="","",PlanLayout!R9&amp;CHAR(10)&amp;IFERROR(IF(INDEX(tblStellplatz[SAP],MATCH(PlanLayout!R9,tblStellplatz[Stellplatz],0))="","leer",IF(LEFT(RIGHT(INDEX(tblStellplatz[SAP],MATCH(PlanLayout!R9,tblStellplatz[Stellplatz],0)),4),1)="0",RIGHT(INDEX(tblStellplatz[SAP],MATCH(PlanLayout!R9,tblStellplatz[Stellplatz],0)),5),RIGHT(INDEX(tblStellplatz[SAP],MATCH(PlanLayout!R9,tblStellplatz[Stellplatz],0)),4))),"?"))</f>
        <v/>
      </c>
      <c r="S9" s="4">
        <f>IF(PlanLayout!S9="","",PlanLayout!S9&amp;CHAR(10)&amp;IFERROR(IF(INDEX(tblStellplatz[SAP],MATCH(PlanLayout!S9,tblStellplatz[Stellplatz],0))="","leer",IF(LEFT(RIGHT(INDEX(tblStellplatz[SAP],MATCH(PlanLayout!S9,tblStellplatz[Stellplatz],0)),4),1)="0",RIGHT(INDEX(tblStellplatz[SAP],MATCH(PlanLayout!S9,tblStellplatz[Stellplatz],0)),5),RIGHT(INDEX(tblStellplatz[SAP],MATCH(PlanLayout!S9,tblStellplatz[Stellplatz],0)),4))),"?"))</f>
        <v/>
      </c>
      <c r="T9" s="4">
        <f>IF(PlanLayout!T9="","",PlanLayout!T9&amp;CHAR(10)&amp;IFERROR(IF(INDEX(tblStellplatz[SAP],MATCH(PlanLayout!T9,tblStellplatz[Stellplatz],0))="","leer",IF(LEFT(RIGHT(INDEX(tblStellplatz[SAP],MATCH(PlanLayout!T9,tblStellplatz[Stellplatz],0)),4),1)="0",RIGHT(INDEX(tblStellplatz[SAP],MATCH(PlanLayout!T9,tblStellplatz[Stellplatz],0)),5),RIGHT(INDEX(tblStellplatz[SAP],MATCH(PlanLayout!T9,tblStellplatz[Stellplatz],0)),4))),"?"))</f>
        <v/>
      </c>
      <c r="U9" s="4">
        <f>IF(PlanLayout!U9="","",PlanLayout!U9&amp;CHAR(10)&amp;IFERROR(IF(INDEX(tblStellplatz[SAP],MATCH(PlanLayout!U9,tblStellplatz[Stellplatz],0))="","leer",IF(LEFT(RIGHT(INDEX(tblStellplatz[SAP],MATCH(PlanLayout!U9,tblStellplatz[Stellplatz],0)),4),1)="0",RIGHT(INDEX(tblStellplatz[SAP],MATCH(PlanLayout!U9,tblStellplatz[Stellplatz],0)),5),RIGHT(INDEX(tblStellplatz[SAP],MATCH(PlanLayout!U9,tblStellplatz[Stellplatz],0)),4))),"?"))</f>
        <v/>
      </c>
      <c r="V9" s="4">
        <f>IF(PlanLayout!V9="","",PlanLayout!V9&amp;CHAR(10)&amp;IFERROR(IF(INDEX(tblStellplatz[SAP],MATCH(PlanLayout!V9,tblStellplatz[Stellplatz],0))="","leer",IF(LEFT(RIGHT(INDEX(tblStellplatz[SAP],MATCH(PlanLayout!V9,tblStellplatz[Stellplatz],0)),4),1)="0",RIGHT(INDEX(tblStellplatz[SAP],MATCH(PlanLayout!V9,tblStellplatz[Stellplatz],0)),5),RIGHT(INDEX(tblStellplatz[SAP],MATCH(PlanLayout!V9,tblStellplatz[Stellplatz],0)),4))),"?"))</f>
        <v/>
      </c>
      <c r="W9" s="4">
        <f>IF(PlanLayout!W9="","",PlanLayout!W9&amp;CHAR(10)&amp;IFERROR(IF(INDEX(tblStellplatz[SAP],MATCH(PlanLayout!W9,tblStellplatz[Stellplatz],0))="","leer",IF(LEFT(RIGHT(INDEX(tblStellplatz[SAP],MATCH(PlanLayout!W9,tblStellplatz[Stellplatz],0)),4),1)="0",RIGHT(INDEX(tblStellplatz[SAP],MATCH(PlanLayout!W9,tblStellplatz[Stellplatz],0)),5),RIGHT(INDEX(tblStellplatz[SAP],MATCH(PlanLayout!W9,tblStellplatz[Stellplatz],0)),4))),"?"))</f>
        <v/>
      </c>
      <c r="X9" s="4">
        <f>IF(PlanLayout!X9="","",PlanLayout!X9&amp;CHAR(10)&amp;IFERROR(IF(INDEX(tblStellplatz[SAP],MATCH(PlanLayout!X9,tblStellplatz[Stellplatz],0))="","leer",IF(LEFT(RIGHT(INDEX(tblStellplatz[SAP],MATCH(PlanLayout!X9,tblStellplatz[Stellplatz],0)),4),1)="0",RIGHT(INDEX(tblStellplatz[SAP],MATCH(PlanLayout!X9,tblStellplatz[Stellplatz],0)),5),RIGHT(INDEX(tblStellplatz[SAP],MATCH(PlanLayout!X9,tblStellplatz[Stellplatz],0)),4))),"?"))</f>
        <v/>
      </c>
      <c r="Y9" s="4">
        <f>IF(PlanLayout!Y9="","",PlanLayout!Y9&amp;CHAR(10)&amp;IFERROR(IF(INDEX(tblStellplatz[SAP],MATCH(PlanLayout!Y9,tblStellplatz[Stellplatz],0))="","leer",IF(LEFT(RIGHT(INDEX(tblStellplatz[SAP],MATCH(PlanLayout!Y9,tblStellplatz[Stellplatz],0)),4),1)="0",RIGHT(INDEX(tblStellplatz[SAP],MATCH(PlanLayout!Y9,tblStellplatz[Stellplatz],0)),5),RIGHT(INDEX(tblStellplatz[SAP],MATCH(PlanLayout!Y9,tblStellplatz[Stellplatz],0)),4))),"?"))</f>
        <v/>
      </c>
      <c r="Z9" s="4">
        <f>IF(PlanLayout!Z9="","",PlanLayout!Z9&amp;CHAR(10)&amp;IFERROR(IF(INDEX(tblStellplatz[SAP],MATCH(PlanLayout!Z9,tblStellplatz[Stellplatz],0))="","leer",IF(LEFT(RIGHT(INDEX(tblStellplatz[SAP],MATCH(PlanLayout!Z9,tblStellplatz[Stellplatz],0)),4),1)="0",RIGHT(INDEX(tblStellplatz[SAP],MATCH(PlanLayout!Z9,tblStellplatz[Stellplatz],0)),5),RIGHT(INDEX(tblStellplatz[SAP],MATCH(PlanLayout!Z9,tblStellplatz[Stellplatz],0)),4))),"?"))</f>
        <v/>
      </c>
      <c r="AA9" s="4">
        <f>IF(PlanLayout!AA9="","",PlanLayout!AA9&amp;CHAR(10)&amp;IFERROR(IF(INDEX(tblStellplatz[SAP],MATCH(PlanLayout!AA9,tblStellplatz[Stellplatz],0))="","leer",IF(LEFT(RIGHT(INDEX(tblStellplatz[SAP],MATCH(PlanLayout!AA9,tblStellplatz[Stellplatz],0)),4),1)="0",RIGHT(INDEX(tblStellplatz[SAP],MATCH(PlanLayout!AA9,tblStellplatz[Stellplatz],0)),5),RIGHT(INDEX(tblStellplatz[SAP],MATCH(PlanLayout!AA9,tblStellplatz[Stellplatz],0)),4))),"?"))</f>
        <v/>
      </c>
      <c r="AB9" s="4">
        <f>IF(PlanLayout!AB9="","",PlanLayout!AB9&amp;CHAR(10)&amp;IFERROR(IF(INDEX(tblStellplatz[SAP],MATCH(PlanLayout!AB9,tblStellplatz[Stellplatz],0))="","leer",IF(LEFT(RIGHT(INDEX(tblStellplatz[SAP],MATCH(PlanLayout!AB9,tblStellplatz[Stellplatz],0)),4),1)="0",RIGHT(INDEX(tblStellplatz[SAP],MATCH(PlanLayout!AB9,tblStellplatz[Stellplatz],0)),5),RIGHT(INDEX(tblStellplatz[SAP],MATCH(PlanLayout!AB9,tblStellplatz[Stellplatz],0)),4))),"?"))</f>
        <v/>
      </c>
      <c r="AC9" s="4">
        <f>IF(PlanLayout!AC9="","",PlanLayout!AC9&amp;CHAR(10)&amp;IFERROR(IF(INDEX(tblStellplatz[SAP],MATCH(PlanLayout!AC9,tblStellplatz[Stellplatz],0))="","leer",IF(LEFT(RIGHT(INDEX(tblStellplatz[SAP],MATCH(PlanLayout!AC9,tblStellplatz[Stellplatz],0)),4),1)="0",RIGHT(INDEX(tblStellplatz[SAP],MATCH(PlanLayout!AC9,tblStellplatz[Stellplatz],0)),5),RIGHT(INDEX(tblStellplatz[SAP],MATCH(PlanLayout!AC9,tblStellplatz[Stellplatz],0)),4))),"?"))</f>
        <v/>
      </c>
      <c r="AD9" s="4">
        <f>IF(PlanLayout!AD9="","",PlanLayout!AD9&amp;CHAR(10)&amp;IFERROR(IF(INDEX(tblStellplatz[SAP],MATCH(PlanLayout!AD9,tblStellplatz[Stellplatz],0))="","leer",IF(LEFT(RIGHT(INDEX(tblStellplatz[SAP],MATCH(PlanLayout!AD9,tblStellplatz[Stellplatz],0)),4),1)="0",RIGHT(INDEX(tblStellplatz[SAP],MATCH(PlanLayout!AD9,tblStellplatz[Stellplatz],0)),5),RIGHT(INDEX(tblStellplatz[SAP],MATCH(PlanLayout!AD9,tblStellplatz[Stellplatz],0)),4))),"?"))</f>
        <v/>
      </c>
      <c r="AE9" s="4">
        <f>IF(PlanLayout!AE9="","",PlanLayout!AE9&amp;CHAR(10)&amp;IFERROR(IF(INDEX(tblStellplatz[SAP],MATCH(PlanLayout!AE9,tblStellplatz[Stellplatz],0))="","leer",IF(LEFT(RIGHT(INDEX(tblStellplatz[SAP],MATCH(PlanLayout!AE9,tblStellplatz[Stellplatz],0)),4),1)="0",RIGHT(INDEX(tblStellplatz[SAP],MATCH(PlanLayout!AE9,tblStellplatz[Stellplatz],0)),5),RIGHT(INDEX(tblStellplatz[SAP],MATCH(PlanLayout!AE9,tblStellplatz[Stellplatz],0)),4))),"?"))</f>
        <v/>
      </c>
      <c r="AF9" s="4">
        <f>IF(PlanLayout!AF9="","",PlanLayout!AF9&amp;CHAR(10)&amp;IFERROR(IF(INDEX(tblStellplatz[SAP],MATCH(PlanLayout!AF9,tblStellplatz[Stellplatz],0))="","leer",IF(LEFT(RIGHT(INDEX(tblStellplatz[SAP],MATCH(PlanLayout!AF9,tblStellplatz[Stellplatz],0)),4),1)="0",RIGHT(INDEX(tblStellplatz[SAP],MATCH(PlanLayout!AF9,tblStellplatz[Stellplatz],0)),5),RIGHT(INDEX(tblStellplatz[SAP],MATCH(PlanLayout!AF9,tblStellplatz[Stellplatz],0)),4))),"?"))</f>
        <v/>
      </c>
      <c r="AG9" s="4">
        <f>IF(PlanLayout!AG9="","",PlanLayout!AG9&amp;CHAR(10)&amp;IFERROR(IF(INDEX(tblStellplatz[SAP],MATCH(PlanLayout!AG9,tblStellplatz[Stellplatz],0))="","leer",IF(LEFT(RIGHT(INDEX(tblStellplatz[SAP],MATCH(PlanLayout!AG9,tblStellplatz[Stellplatz],0)),4),1)="0",RIGHT(INDEX(tblStellplatz[SAP],MATCH(PlanLayout!AG9,tblStellplatz[Stellplatz],0)),5),RIGHT(INDEX(tblStellplatz[SAP],MATCH(PlanLayout!AG9,tblStellplatz[Stellplatz],0)),4))),"?"))</f>
        <v/>
      </c>
      <c r="AH9" s="4">
        <f>IF(PlanLayout!AH9="","",PlanLayout!AH9&amp;CHAR(10)&amp;IFERROR(IF(INDEX(tblStellplatz[SAP],MATCH(PlanLayout!AH9,tblStellplatz[Stellplatz],0))="","leer",IF(LEFT(RIGHT(INDEX(tblStellplatz[SAP],MATCH(PlanLayout!AH9,tblStellplatz[Stellplatz],0)),4),1)="0",RIGHT(INDEX(tblStellplatz[SAP],MATCH(PlanLayout!AH9,tblStellplatz[Stellplatz],0)),5),RIGHT(INDEX(tblStellplatz[SAP],MATCH(PlanLayout!AH9,tblStellplatz[Stellplatz],0)),4))),"?"))</f>
        <v/>
      </c>
      <c r="AI9" s="4">
        <f>IF(PlanLayout!AI9="","",PlanLayout!AI9&amp;CHAR(10)&amp;IFERROR(IF(INDEX(tblStellplatz[SAP],MATCH(PlanLayout!AI9,tblStellplatz[Stellplatz],0))="","leer",IF(LEFT(RIGHT(INDEX(tblStellplatz[SAP],MATCH(PlanLayout!AI9,tblStellplatz[Stellplatz],0)),4),1)="0",RIGHT(INDEX(tblStellplatz[SAP],MATCH(PlanLayout!AI9,tblStellplatz[Stellplatz],0)),5),RIGHT(INDEX(tblStellplatz[SAP],MATCH(PlanLayout!AI9,tblStellplatz[Stellplatz],0)),4))),"?"))</f>
        <v/>
      </c>
      <c r="AJ9" s="4">
        <f>IF(PlanLayout!AJ9="","",PlanLayout!AJ9&amp;CHAR(10)&amp;IFERROR(IF(INDEX(tblStellplatz[SAP],MATCH(PlanLayout!AJ9,tblStellplatz[Stellplatz],0))="","leer",IF(LEFT(RIGHT(INDEX(tblStellplatz[SAP],MATCH(PlanLayout!AJ9,tblStellplatz[Stellplatz],0)),4),1)="0",RIGHT(INDEX(tblStellplatz[SAP],MATCH(PlanLayout!AJ9,tblStellplatz[Stellplatz],0)),5),RIGHT(INDEX(tblStellplatz[SAP],MATCH(PlanLayout!AJ9,tblStellplatz[Stellplatz],0)),4))),"?"))</f>
        <v/>
      </c>
      <c r="AK9" s="4">
        <f>IF(PlanLayout!AK9="","",PlanLayout!AK9&amp;CHAR(10)&amp;IFERROR(IF(INDEX(tblStellplatz[SAP],MATCH(PlanLayout!AK9,tblStellplatz[Stellplatz],0))="","leer",IF(LEFT(RIGHT(INDEX(tblStellplatz[SAP],MATCH(PlanLayout!AK9,tblStellplatz[Stellplatz],0)),4),1)="0",RIGHT(INDEX(tblStellplatz[SAP],MATCH(PlanLayout!AK9,tblStellplatz[Stellplatz],0)),5),RIGHT(INDEX(tblStellplatz[SAP],MATCH(PlanLayout!AK9,tblStellplatz[Stellplatz],0)),4))),"?"))</f>
        <v/>
      </c>
      <c r="AL9" s="4">
        <f>IF(PlanLayout!AL9="","",PlanLayout!AL9&amp;CHAR(10)&amp;IFERROR(IF(INDEX(tblStellplatz[SAP],MATCH(PlanLayout!AL9,tblStellplatz[Stellplatz],0))="","leer",IF(LEFT(RIGHT(INDEX(tblStellplatz[SAP],MATCH(PlanLayout!AL9,tblStellplatz[Stellplatz],0)),4),1)="0",RIGHT(INDEX(tblStellplatz[SAP],MATCH(PlanLayout!AL9,tblStellplatz[Stellplatz],0)),5),RIGHT(INDEX(tblStellplatz[SAP],MATCH(PlanLayout!AL9,tblStellplatz[Stellplatz],0)),4))),"?"))</f>
        <v/>
      </c>
      <c r="AM9" s="4">
        <f>IF(PlanLayout!AM9="","",PlanLayout!AM9&amp;CHAR(10)&amp;IFERROR(IF(INDEX(tblStellplatz[SAP],MATCH(PlanLayout!AM9,tblStellplatz[Stellplatz],0))="","leer",IF(LEFT(RIGHT(INDEX(tblStellplatz[SAP],MATCH(PlanLayout!AM9,tblStellplatz[Stellplatz],0)),4),1)="0",RIGHT(INDEX(tblStellplatz[SAP],MATCH(PlanLayout!AM9,tblStellplatz[Stellplatz],0)),5),RIGHT(INDEX(tblStellplatz[SAP],MATCH(PlanLayout!AM9,tblStellplatz[Stellplatz],0)),4))),"?"))</f>
        <v/>
      </c>
      <c r="AN9" s="4">
        <f>IF(PlanLayout!AN9="","",PlanLayout!AN9&amp;CHAR(10)&amp;IFERROR(IF(INDEX(tblStellplatz[SAP],MATCH(PlanLayout!AN9,tblStellplatz[Stellplatz],0))="","leer",IF(LEFT(RIGHT(INDEX(tblStellplatz[SAP],MATCH(PlanLayout!AN9,tblStellplatz[Stellplatz],0)),4),1)="0",RIGHT(INDEX(tblStellplatz[SAP],MATCH(PlanLayout!AN9,tblStellplatz[Stellplatz],0)),5),RIGHT(INDEX(tblStellplatz[SAP],MATCH(PlanLayout!AN9,tblStellplatz[Stellplatz],0)),4))),"?"))</f>
        <v/>
      </c>
      <c r="AO9" s="4">
        <f>IF(PlanLayout!AO9="","",PlanLayout!AO9&amp;CHAR(10)&amp;IFERROR(IF(INDEX(tblStellplatz[SAP],MATCH(PlanLayout!AO9,tblStellplatz[Stellplatz],0))="","leer",IF(LEFT(RIGHT(INDEX(tblStellplatz[SAP],MATCH(PlanLayout!AO9,tblStellplatz[Stellplatz],0)),4),1)="0",RIGHT(INDEX(tblStellplatz[SAP],MATCH(PlanLayout!AO9,tblStellplatz[Stellplatz],0)),5),RIGHT(INDEX(tblStellplatz[SAP],MATCH(PlanLayout!AO9,tblStellplatz[Stellplatz],0)),4))),"?"))</f>
        <v/>
      </c>
    </row>
    <row r="10" ht="30" customHeight="1">
      <c r="B10" s="4">
        <f>IF(PlanLayout!B10="","",PlanLayout!B10&amp;CHAR(10)&amp;IFERROR(IF(INDEX(tblStellplatz[SAP],MATCH(PlanLayout!B10,tblStellplatz[Stellplatz],0))="","leer",IF(LEFT(RIGHT(INDEX(tblStellplatz[SAP],MATCH(PlanLayout!B10,tblStellplatz[Stellplatz],0)),4),1)="0",RIGHT(INDEX(tblStellplatz[SAP],MATCH(PlanLayout!B10,tblStellplatz[Stellplatz],0)),5),RIGHT(INDEX(tblStellplatz[SAP],MATCH(PlanLayout!B10,tblStellplatz[Stellplatz],0)),4))),"?"))</f>
        <v/>
      </c>
      <c r="C10" s="4">
        <f>IF(PlanLayout!C10="","",PlanLayout!C10&amp;CHAR(10)&amp;IFERROR(IF(INDEX(tblStellplatz[SAP],MATCH(PlanLayout!C10,tblStellplatz[Stellplatz],0))="","leer",IF(LEFT(RIGHT(INDEX(tblStellplatz[SAP],MATCH(PlanLayout!C10,tblStellplatz[Stellplatz],0)),4),1)="0",RIGHT(INDEX(tblStellplatz[SAP],MATCH(PlanLayout!C10,tblStellplatz[Stellplatz],0)),5),RIGHT(INDEX(tblStellplatz[SAP],MATCH(PlanLayout!C10,tblStellplatz[Stellplatz],0)),4))),"?"))</f>
        <v/>
      </c>
      <c r="D10" s="4">
        <f>IF(PlanLayout!D10="","",PlanLayout!D10&amp;CHAR(10)&amp;IFERROR(IF(INDEX(tblStellplatz[SAP],MATCH(PlanLayout!D10,tblStellplatz[Stellplatz],0))="","leer",IF(LEFT(RIGHT(INDEX(tblStellplatz[SAP],MATCH(PlanLayout!D10,tblStellplatz[Stellplatz],0)),4),1)="0",RIGHT(INDEX(tblStellplatz[SAP],MATCH(PlanLayout!D10,tblStellplatz[Stellplatz],0)),5),RIGHT(INDEX(tblStellplatz[SAP],MATCH(PlanLayout!D10,tblStellplatz[Stellplatz],0)),4))),"?"))</f>
        <v/>
      </c>
      <c r="E10" s="4">
        <f>IF(PlanLayout!E10="","",PlanLayout!E10&amp;CHAR(10)&amp;IFERROR(IF(INDEX(tblStellplatz[SAP],MATCH(PlanLayout!E10,tblStellplatz[Stellplatz],0))="","leer",IF(LEFT(RIGHT(INDEX(tblStellplatz[SAP],MATCH(PlanLayout!E10,tblStellplatz[Stellplatz],0)),4),1)="0",RIGHT(INDEX(tblStellplatz[SAP],MATCH(PlanLayout!E10,tblStellplatz[Stellplatz],0)),5),RIGHT(INDEX(tblStellplatz[SAP],MATCH(PlanLayout!E10,tblStellplatz[Stellplatz],0)),4))),"?"))</f>
        <v/>
      </c>
      <c r="F10" s="4">
        <f>IF(PlanLayout!F10="","",PlanLayout!F10&amp;CHAR(10)&amp;IFERROR(IF(INDEX(tblStellplatz[SAP],MATCH(PlanLayout!F10,tblStellplatz[Stellplatz],0))="","leer",IF(LEFT(RIGHT(INDEX(tblStellplatz[SAP],MATCH(PlanLayout!F10,tblStellplatz[Stellplatz],0)),4),1)="0",RIGHT(INDEX(tblStellplatz[SAP],MATCH(PlanLayout!F10,tblStellplatz[Stellplatz],0)),5),RIGHT(INDEX(tblStellplatz[SAP],MATCH(PlanLayout!F10,tblStellplatz[Stellplatz],0)),4))),"?"))</f>
        <v/>
      </c>
      <c r="G10" s="4">
        <f>IF(PlanLayout!G10="","",PlanLayout!G10&amp;CHAR(10)&amp;IFERROR(IF(INDEX(tblStellplatz[SAP],MATCH(PlanLayout!G10,tblStellplatz[Stellplatz],0))="","leer",IF(LEFT(RIGHT(INDEX(tblStellplatz[SAP],MATCH(PlanLayout!G10,tblStellplatz[Stellplatz],0)),4),1)="0",RIGHT(INDEX(tblStellplatz[SAP],MATCH(PlanLayout!G10,tblStellplatz[Stellplatz],0)),5),RIGHT(INDEX(tblStellplatz[SAP],MATCH(PlanLayout!G10,tblStellplatz[Stellplatz],0)),4))),"?"))</f>
        <v/>
      </c>
      <c r="H10" s="4">
        <f>IF(PlanLayout!H10="","",PlanLayout!H10&amp;CHAR(10)&amp;IFERROR(IF(INDEX(tblStellplatz[SAP],MATCH(PlanLayout!H10,tblStellplatz[Stellplatz],0))="","leer",IF(LEFT(RIGHT(INDEX(tblStellplatz[SAP],MATCH(PlanLayout!H10,tblStellplatz[Stellplatz],0)),4),1)="0",RIGHT(INDEX(tblStellplatz[SAP],MATCH(PlanLayout!H10,tblStellplatz[Stellplatz],0)),5),RIGHT(INDEX(tblStellplatz[SAP],MATCH(PlanLayout!H10,tblStellplatz[Stellplatz],0)),4))),"?"))</f>
        <v/>
      </c>
      <c r="I10" s="4">
        <f>IF(PlanLayout!I10="","",PlanLayout!I10&amp;CHAR(10)&amp;IFERROR(IF(INDEX(tblStellplatz[SAP],MATCH(PlanLayout!I10,tblStellplatz[Stellplatz],0))="","leer",IF(LEFT(RIGHT(INDEX(tblStellplatz[SAP],MATCH(PlanLayout!I10,tblStellplatz[Stellplatz],0)),4),1)="0",RIGHT(INDEX(tblStellplatz[SAP],MATCH(PlanLayout!I10,tblStellplatz[Stellplatz],0)),5),RIGHT(INDEX(tblStellplatz[SAP],MATCH(PlanLayout!I10,tblStellplatz[Stellplatz],0)),4))),"?"))</f>
        <v/>
      </c>
      <c r="J10" s="4">
        <f>IF(PlanLayout!J10="","",PlanLayout!J10&amp;CHAR(10)&amp;IFERROR(IF(INDEX(tblStellplatz[SAP],MATCH(PlanLayout!J10,tblStellplatz[Stellplatz],0))="","leer",IF(LEFT(RIGHT(INDEX(tblStellplatz[SAP],MATCH(PlanLayout!J10,tblStellplatz[Stellplatz],0)),4),1)="0",RIGHT(INDEX(tblStellplatz[SAP],MATCH(PlanLayout!J10,tblStellplatz[Stellplatz],0)),5),RIGHT(INDEX(tblStellplatz[SAP],MATCH(PlanLayout!J10,tblStellplatz[Stellplatz],0)),4))),"?"))</f>
        <v/>
      </c>
      <c r="K10" s="4">
        <f>IF(PlanLayout!K10="","",PlanLayout!K10&amp;CHAR(10)&amp;IFERROR(IF(INDEX(tblStellplatz[SAP],MATCH(PlanLayout!K10,tblStellplatz[Stellplatz],0))="","leer",IF(LEFT(RIGHT(INDEX(tblStellplatz[SAP],MATCH(PlanLayout!K10,tblStellplatz[Stellplatz],0)),4),1)="0",RIGHT(INDEX(tblStellplatz[SAP],MATCH(PlanLayout!K10,tblStellplatz[Stellplatz],0)),5),RIGHT(INDEX(tblStellplatz[SAP],MATCH(PlanLayout!K10,tblStellplatz[Stellplatz],0)),4))),"?"))</f>
        <v/>
      </c>
      <c r="L10" s="4">
        <f>IF(PlanLayout!L10="","",PlanLayout!L10&amp;CHAR(10)&amp;IFERROR(IF(INDEX(tblStellplatz[SAP],MATCH(PlanLayout!L10,tblStellplatz[Stellplatz],0))="","leer",IF(LEFT(RIGHT(INDEX(tblStellplatz[SAP],MATCH(PlanLayout!L10,tblStellplatz[Stellplatz],0)),4),1)="0",RIGHT(INDEX(tblStellplatz[SAP],MATCH(PlanLayout!L10,tblStellplatz[Stellplatz],0)),5),RIGHT(INDEX(tblStellplatz[SAP],MATCH(PlanLayout!L10,tblStellplatz[Stellplatz],0)),4))),"?"))</f>
        <v/>
      </c>
      <c r="M10" s="4">
        <f>IF(PlanLayout!M10="","",PlanLayout!M10&amp;CHAR(10)&amp;IFERROR(IF(INDEX(tblStellplatz[SAP],MATCH(PlanLayout!M10,tblStellplatz[Stellplatz],0))="","leer",IF(LEFT(RIGHT(INDEX(tblStellplatz[SAP],MATCH(PlanLayout!M10,tblStellplatz[Stellplatz],0)),4),1)="0",RIGHT(INDEX(tblStellplatz[SAP],MATCH(PlanLayout!M10,tblStellplatz[Stellplatz],0)),5),RIGHT(INDEX(tblStellplatz[SAP],MATCH(PlanLayout!M10,tblStellplatz[Stellplatz],0)),4))),"?"))</f>
        <v/>
      </c>
      <c r="N10" s="4">
        <f>IF(PlanLayout!N10="","",PlanLayout!N10&amp;CHAR(10)&amp;IFERROR(IF(INDEX(tblStellplatz[SAP],MATCH(PlanLayout!N10,tblStellplatz[Stellplatz],0))="","leer",IF(LEFT(RIGHT(INDEX(tblStellplatz[SAP],MATCH(PlanLayout!N10,tblStellplatz[Stellplatz],0)),4),1)="0",RIGHT(INDEX(tblStellplatz[SAP],MATCH(PlanLayout!N10,tblStellplatz[Stellplatz],0)),5),RIGHT(INDEX(tblStellplatz[SAP],MATCH(PlanLayout!N10,tblStellplatz[Stellplatz],0)),4))),"?"))</f>
        <v/>
      </c>
      <c r="O10" s="4">
        <f>IF(PlanLayout!O10="","",PlanLayout!O10&amp;CHAR(10)&amp;IFERROR(IF(INDEX(tblStellplatz[SAP],MATCH(PlanLayout!O10,tblStellplatz[Stellplatz],0))="","leer",IF(LEFT(RIGHT(INDEX(tblStellplatz[SAP],MATCH(PlanLayout!O10,tblStellplatz[Stellplatz],0)),4),1)="0",RIGHT(INDEX(tblStellplatz[SAP],MATCH(PlanLayout!O10,tblStellplatz[Stellplatz],0)),5),RIGHT(INDEX(tblStellplatz[SAP],MATCH(PlanLayout!O10,tblStellplatz[Stellplatz],0)),4))),"?"))</f>
        <v/>
      </c>
      <c r="P10" s="4">
        <f>IF(PlanLayout!P10="","",PlanLayout!P10&amp;CHAR(10)&amp;IFERROR(IF(INDEX(tblStellplatz[SAP],MATCH(PlanLayout!P10,tblStellplatz[Stellplatz],0))="","leer",IF(LEFT(RIGHT(INDEX(tblStellplatz[SAP],MATCH(PlanLayout!P10,tblStellplatz[Stellplatz],0)),4),1)="0",RIGHT(INDEX(tblStellplatz[SAP],MATCH(PlanLayout!P10,tblStellplatz[Stellplatz],0)),5),RIGHT(INDEX(tblStellplatz[SAP],MATCH(PlanLayout!P10,tblStellplatz[Stellplatz],0)),4))),"?"))</f>
        <v/>
      </c>
      <c r="Q10" s="4">
        <f>IF(PlanLayout!Q10="","",PlanLayout!Q10&amp;CHAR(10)&amp;IFERROR(IF(INDEX(tblStellplatz[SAP],MATCH(PlanLayout!Q10,tblStellplatz[Stellplatz],0))="","leer",IF(LEFT(RIGHT(INDEX(tblStellplatz[SAP],MATCH(PlanLayout!Q10,tblStellplatz[Stellplatz],0)),4),1)="0",RIGHT(INDEX(tblStellplatz[SAP],MATCH(PlanLayout!Q10,tblStellplatz[Stellplatz],0)),5),RIGHT(INDEX(tblStellplatz[SAP],MATCH(PlanLayout!Q10,tblStellplatz[Stellplatz],0)),4))),"?"))</f>
        <v/>
      </c>
      <c r="R10" s="4">
        <f>IF(PlanLayout!R10="","",PlanLayout!R10&amp;CHAR(10)&amp;IFERROR(IF(INDEX(tblStellplatz[SAP],MATCH(PlanLayout!R10,tblStellplatz[Stellplatz],0))="","leer",IF(LEFT(RIGHT(INDEX(tblStellplatz[SAP],MATCH(PlanLayout!R10,tblStellplatz[Stellplatz],0)),4),1)="0",RIGHT(INDEX(tblStellplatz[SAP],MATCH(PlanLayout!R10,tblStellplatz[Stellplatz],0)),5),RIGHT(INDEX(tblStellplatz[SAP],MATCH(PlanLayout!R10,tblStellplatz[Stellplatz],0)),4))),"?"))</f>
        <v/>
      </c>
      <c r="S10" s="4">
        <f>IF(PlanLayout!S10="","",PlanLayout!S10&amp;CHAR(10)&amp;IFERROR(IF(INDEX(tblStellplatz[SAP],MATCH(PlanLayout!S10,tblStellplatz[Stellplatz],0))="","leer",IF(LEFT(RIGHT(INDEX(tblStellplatz[SAP],MATCH(PlanLayout!S10,tblStellplatz[Stellplatz],0)),4),1)="0",RIGHT(INDEX(tblStellplatz[SAP],MATCH(PlanLayout!S10,tblStellplatz[Stellplatz],0)),5),RIGHT(INDEX(tblStellplatz[SAP],MATCH(PlanLayout!S10,tblStellplatz[Stellplatz],0)),4))),"?"))</f>
        <v/>
      </c>
      <c r="T10" s="4">
        <f>IF(PlanLayout!T10="","",PlanLayout!T10&amp;CHAR(10)&amp;IFERROR(IF(INDEX(tblStellplatz[SAP],MATCH(PlanLayout!T10,tblStellplatz[Stellplatz],0))="","leer",IF(LEFT(RIGHT(INDEX(tblStellplatz[SAP],MATCH(PlanLayout!T10,tblStellplatz[Stellplatz],0)),4),1)="0",RIGHT(INDEX(tblStellplatz[SAP],MATCH(PlanLayout!T10,tblStellplatz[Stellplatz],0)),5),RIGHT(INDEX(tblStellplatz[SAP],MATCH(PlanLayout!T10,tblStellplatz[Stellplatz],0)),4))),"?"))</f>
        <v/>
      </c>
      <c r="U10" s="4">
        <f>IF(PlanLayout!U10="","",PlanLayout!U10&amp;CHAR(10)&amp;IFERROR(IF(INDEX(tblStellplatz[SAP],MATCH(PlanLayout!U10,tblStellplatz[Stellplatz],0))="","leer",IF(LEFT(RIGHT(INDEX(tblStellplatz[SAP],MATCH(PlanLayout!U10,tblStellplatz[Stellplatz],0)),4),1)="0",RIGHT(INDEX(tblStellplatz[SAP],MATCH(PlanLayout!U10,tblStellplatz[Stellplatz],0)),5),RIGHT(INDEX(tblStellplatz[SAP],MATCH(PlanLayout!U10,tblStellplatz[Stellplatz],0)),4))),"?"))</f>
        <v/>
      </c>
      <c r="V10" s="4">
        <f>IF(PlanLayout!V10="","",PlanLayout!V10&amp;CHAR(10)&amp;IFERROR(IF(INDEX(tblStellplatz[SAP],MATCH(PlanLayout!V10,tblStellplatz[Stellplatz],0))="","leer",IF(LEFT(RIGHT(INDEX(tblStellplatz[SAP],MATCH(PlanLayout!V10,tblStellplatz[Stellplatz],0)),4),1)="0",RIGHT(INDEX(tblStellplatz[SAP],MATCH(PlanLayout!V10,tblStellplatz[Stellplatz],0)),5),RIGHT(INDEX(tblStellplatz[SAP],MATCH(PlanLayout!V10,tblStellplatz[Stellplatz],0)),4))),"?"))</f>
        <v/>
      </c>
      <c r="W10" s="4">
        <f>IF(PlanLayout!W10="","",PlanLayout!W10&amp;CHAR(10)&amp;IFERROR(IF(INDEX(tblStellplatz[SAP],MATCH(PlanLayout!W10,tblStellplatz[Stellplatz],0))="","leer",IF(LEFT(RIGHT(INDEX(tblStellplatz[SAP],MATCH(PlanLayout!W10,tblStellplatz[Stellplatz],0)),4),1)="0",RIGHT(INDEX(tblStellplatz[SAP],MATCH(PlanLayout!W10,tblStellplatz[Stellplatz],0)),5),RIGHT(INDEX(tblStellplatz[SAP],MATCH(PlanLayout!W10,tblStellplatz[Stellplatz],0)),4))),"?"))</f>
        <v/>
      </c>
      <c r="X10" s="4">
        <f>IF(PlanLayout!X10="","",PlanLayout!X10&amp;CHAR(10)&amp;IFERROR(IF(INDEX(tblStellplatz[SAP],MATCH(PlanLayout!X10,tblStellplatz[Stellplatz],0))="","leer",IF(LEFT(RIGHT(INDEX(tblStellplatz[SAP],MATCH(PlanLayout!X10,tblStellplatz[Stellplatz],0)),4),1)="0",RIGHT(INDEX(tblStellplatz[SAP],MATCH(PlanLayout!X10,tblStellplatz[Stellplatz],0)),5),RIGHT(INDEX(tblStellplatz[SAP],MATCH(PlanLayout!X10,tblStellplatz[Stellplatz],0)),4))),"?"))</f>
        <v/>
      </c>
      <c r="Y10" s="4">
        <f>IF(PlanLayout!Y10="","",PlanLayout!Y10&amp;CHAR(10)&amp;IFERROR(IF(INDEX(tblStellplatz[SAP],MATCH(PlanLayout!Y10,tblStellplatz[Stellplatz],0))="","leer",IF(LEFT(RIGHT(INDEX(tblStellplatz[SAP],MATCH(PlanLayout!Y10,tblStellplatz[Stellplatz],0)),4),1)="0",RIGHT(INDEX(tblStellplatz[SAP],MATCH(PlanLayout!Y10,tblStellplatz[Stellplatz],0)),5),RIGHT(INDEX(tblStellplatz[SAP],MATCH(PlanLayout!Y10,tblStellplatz[Stellplatz],0)),4))),"?"))</f>
        <v/>
      </c>
      <c r="Z10" s="4">
        <f>IF(PlanLayout!Z10="","",PlanLayout!Z10&amp;CHAR(10)&amp;IFERROR(IF(INDEX(tblStellplatz[SAP],MATCH(PlanLayout!Z10,tblStellplatz[Stellplatz],0))="","leer",IF(LEFT(RIGHT(INDEX(tblStellplatz[SAP],MATCH(PlanLayout!Z10,tblStellplatz[Stellplatz],0)),4),1)="0",RIGHT(INDEX(tblStellplatz[SAP],MATCH(PlanLayout!Z10,tblStellplatz[Stellplatz],0)),5),RIGHT(INDEX(tblStellplatz[SAP],MATCH(PlanLayout!Z10,tblStellplatz[Stellplatz],0)),4))),"?"))</f>
        <v/>
      </c>
      <c r="AA10" s="4">
        <f>IF(PlanLayout!AA10="","",PlanLayout!AA10&amp;CHAR(10)&amp;IFERROR(IF(INDEX(tblStellplatz[SAP],MATCH(PlanLayout!AA10,tblStellplatz[Stellplatz],0))="","leer",IF(LEFT(RIGHT(INDEX(tblStellplatz[SAP],MATCH(PlanLayout!AA10,tblStellplatz[Stellplatz],0)),4),1)="0",RIGHT(INDEX(tblStellplatz[SAP],MATCH(PlanLayout!AA10,tblStellplatz[Stellplatz],0)),5),RIGHT(INDEX(tblStellplatz[SAP],MATCH(PlanLayout!AA10,tblStellplatz[Stellplatz],0)),4))),"?"))</f>
        <v/>
      </c>
      <c r="AB10" s="4">
        <f>IF(PlanLayout!AB10="","",PlanLayout!AB10&amp;CHAR(10)&amp;IFERROR(IF(INDEX(tblStellplatz[SAP],MATCH(PlanLayout!AB10,tblStellplatz[Stellplatz],0))="","leer",IF(LEFT(RIGHT(INDEX(tblStellplatz[SAP],MATCH(PlanLayout!AB10,tblStellplatz[Stellplatz],0)),4),1)="0",RIGHT(INDEX(tblStellplatz[SAP],MATCH(PlanLayout!AB10,tblStellplatz[Stellplatz],0)),5),RIGHT(INDEX(tblStellplatz[SAP],MATCH(PlanLayout!AB10,tblStellplatz[Stellplatz],0)),4))),"?"))</f>
        <v/>
      </c>
      <c r="AC10" s="4">
        <f>IF(PlanLayout!AC10="","",PlanLayout!AC10&amp;CHAR(10)&amp;IFERROR(IF(INDEX(tblStellplatz[SAP],MATCH(PlanLayout!AC10,tblStellplatz[Stellplatz],0))="","leer",IF(LEFT(RIGHT(INDEX(tblStellplatz[SAP],MATCH(PlanLayout!AC10,tblStellplatz[Stellplatz],0)),4),1)="0",RIGHT(INDEX(tblStellplatz[SAP],MATCH(PlanLayout!AC10,tblStellplatz[Stellplatz],0)),5),RIGHT(INDEX(tblStellplatz[SAP],MATCH(PlanLayout!AC10,tblStellplatz[Stellplatz],0)),4))),"?"))</f>
        <v/>
      </c>
      <c r="AD10" s="4">
        <f>IF(PlanLayout!AD10="","",PlanLayout!AD10&amp;CHAR(10)&amp;IFERROR(IF(INDEX(tblStellplatz[SAP],MATCH(PlanLayout!AD10,tblStellplatz[Stellplatz],0))="","leer",IF(LEFT(RIGHT(INDEX(tblStellplatz[SAP],MATCH(PlanLayout!AD10,tblStellplatz[Stellplatz],0)),4),1)="0",RIGHT(INDEX(tblStellplatz[SAP],MATCH(PlanLayout!AD10,tblStellplatz[Stellplatz],0)),5),RIGHT(INDEX(tblStellplatz[SAP],MATCH(PlanLayout!AD10,tblStellplatz[Stellplatz],0)),4))),"?"))</f>
        <v/>
      </c>
      <c r="AE10" s="4">
        <f>IF(PlanLayout!AE10="","",PlanLayout!AE10&amp;CHAR(10)&amp;IFERROR(IF(INDEX(tblStellplatz[SAP],MATCH(PlanLayout!AE10,tblStellplatz[Stellplatz],0))="","leer",IF(LEFT(RIGHT(INDEX(tblStellplatz[SAP],MATCH(PlanLayout!AE10,tblStellplatz[Stellplatz],0)),4),1)="0",RIGHT(INDEX(tblStellplatz[SAP],MATCH(PlanLayout!AE10,tblStellplatz[Stellplatz],0)),5),RIGHT(INDEX(tblStellplatz[SAP],MATCH(PlanLayout!AE10,tblStellplatz[Stellplatz],0)),4))),"?"))</f>
        <v/>
      </c>
      <c r="AF10" s="4">
        <f>IF(PlanLayout!AF10="","",PlanLayout!AF10&amp;CHAR(10)&amp;IFERROR(IF(INDEX(tblStellplatz[SAP],MATCH(PlanLayout!AF10,tblStellplatz[Stellplatz],0))="","leer",IF(LEFT(RIGHT(INDEX(tblStellplatz[SAP],MATCH(PlanLayout!AF10,tblStellplatz[Stellplatz],0)),4),1)="0",RIGHT(INDEX(tblStellplatz[SAP],MATCH(PlanLayout!AF10,tblStellplatz[Stellplatz],0)),5),RIGHT(INDEX(tblStellplatz[SAP],MATCH(PlanLayout!AF10,tblStellplatz[Stellplatz],0)),4))),"?"))</f>
        <v/>
      </c>
      <c r="AG10" s="4">
        <f>IF(PlanLayout!AG10="","",PlanLayout!AG10&amp;CHAR(10)&amp;IFERROR(IF(INDEX(tblStellplatz[SAP],MATCH(PlanLayout!AG10,tblStellplatz[Stellplatz],0))="","leer",IF(LEFT(RIGHT(INDEX(tblStellplatz[SAP],MATCH(PlanLayout!AG10,tblStellplatz[Stellplatz],0)),4),1)="0",RIGHT(INDEX(tblStellplatz[SAP],MATCH(PlanLayout!AG10,tblStellplatz[Stellplatz],0)),5),RIGHT(INDEX(tblStellplatz[SAP],MATCH(PlanLayout!AG10,tblStellplatz[Stellplatz],0)),4))),"?"))</f>
        <v/>
      </c>
      <c r="AH10" s="4">
        <f>IF(PlanLayout!AH10="","",PlanLayout!AH10&amp;CHAR(10)&amp;IFERROR(IF(INDEX(tblStellplatz[SAP],MATCH(PlanLayout!AH10,tblStellplatz[Stellplatz],0))="","leer",IF(LEFT(RIGHT(INDEX(tblStellplatz[SAP],MATCH(PlanLayout!AH10,tblStellplatz[Stellplatz],0)),4),1)="0",RIGHT(INDEX(tblStellplatz[SAP],MATCH(PlanLayout!AH10,tblStellplatz[Stellplatz],0)),5),RIGHT(INDEX(tblStellplatz[SAP],MATCH(PlanLayout!AH10,tblStellplatz[Stellplatz],0)),4))),"?"))</f>
        <v/>
      </c>
      <c r="AI10" s="4">
        <f>IF(PlanLayout!AI10="","",PlanLayout!AI10&amp;CHAR(10)&amp;IFERROR(IF(INDEX(tblStellplatz[SAP],MATCH(PlanLayout!AI10,tblStellplatz[Stellplatz],0))="","leer",IF(LEFT(RIGHT(INDEX(tblStellplatz[SAP],MATCH(PlanLayout!AI10,tblStellplatz[Stellplatz],0)),4),1)="0",RIGHT(INDEX(tblStellplatz[SAP],MATCH(PlanLayout!AI10,tblStellplatz[Stellplatz],0)),5),RIGHT(INDEX(tblStellplatz[SAP],MATCH(PlanLayout!AI10,tblStellplatz[Stellplatz],0)),4))),"?"))</f>
        <v/>
      </c>
      <c r="AJ10" s="4">
        <f>IF(PlanLayout!AJ10="","",PlanLayout!AJ10&amp;CHAR(10)&amp;IFERROR(IF(INDEX(tblStellplatz[SAP],MATCH(PlanLayout!AJ10,tblStellplatz[Stellplatz],0))="","leer",IF(LEFT(RIGHT(INDEX(tblStellplatz[SAP],MATCH(PlanLayout!AJ10,tblStellplatz[Stellplatz],0)),4),1)="0",RIGHT(INDEX(tblStellplatz[SAP],MATCH(PlanLayout!AJ10,tblStellplatz[Stellplatz],0)),5),RIGHT(INDEX(tblStellplatz[SAP],MATCH(PlanLayout!AJ10,tblStellplatz[Stellplatz],0)),4))),"?"))</f>
        <v/>
      </c>
      <c r="AK10" s="4">
        <f>IF(PlanLayout!AK10="","",PlanLayout!AK10&amp;CHAR(10)&amp;IFERROR(IF(INDEX(tblStellplatz[SAP],MATCH(PlanLayout!AK10,tblStellplatz[Stellplatz],0))="","leer",IF(LEFT(RIGHT(INDEX(tblStellplatz[SAP],MATCH(PlanLayout!AK10,tblStellplatz[Stellplatz],0)),4),1)="0",RIGHT(INDEX(tblStellplatz[SAP],MATCH(PlanLayout!AK10,tblStellplatz[Stellplatz],0)),5),RIGHT(INDEX(tblStellplatz[SAP],MATCH(PlanLayout!AK10,tblStellplatz[Stellplatz],0)),4))),"?"))</f>
        <v/>
      </c>
      <c r="AL10" s="4">
        <f>IF(PlanLayout!AL10="","",PlanLayout!AL10&amp;CHAR(10)&amp;IFERROR(IF(INDEX(tblStellplatz[SAP],MATCH(PlanLayout!AL10,tblStellplatz[Stellplatz],0))="","leer",IF(LEFT(RIGHT(INDEX(tblStellplatz[SAP],MATCH(PlanLayout!AL10,tblStellplatz[Stellplatz],0)),4),1)="0",RIGHT(INDEX(tblStellplatz[SAP],MATCH(PlanLayout!AL10,tblStellplatz[Stellplatz],0)),5),RIGHT(INDEX(tblStellplatz[SAP],MATCH(PlanLayout!AL10,tblStellplatz[Stellplatz],0)),4))),"?"))</f>
        <v/>
      </c>
      <c r="AM10" s="4">
        <f>IF(PlanLayout!AM10="","",PlanLayout!AM10&amp;CHAR(10)&amp;IFERROR(IF(INDEX(tblStellplatz[SAP],MATCH(PlanLayout!AM10,tblStellplatz[Stellplatz],0))="","leer",IF(LEFT(RIGHT(INDEX(tblStellplatz[SAP],MATCH(PlanLayout!AM10,tblStellplatz[Stellplatz],0)),4),1)="0",RIGHT(INDEX(tblStellplatz[SAP],MATCH(PlanLayout!AM10,tblStellplatz[Stellplatz],0)),5),RIGHT(INDEX(tblStellplatz[SAP],MATCH(PlanLayout!AM10,tblStellplatz[Stellplatz],0)),4))),"?"))</f>
        <v/>
      </c>
      <c r="AN10" s="4">
        <f>IF(PlanLayout!AN10="","",PlanLayout!AN10&amp;CHAR(10)&amp;IFERROR(IF(INDEX(tblStellplatz[SAP],MATCH(PlanLayout!AN10,tblStellplatz[Stellplatz],0))="","leer",IF(LEFT(RIGHT(INDEX(tblStellplatz[SAP],MATCH(PlanLayout!AN10,tblStellplatz[Stellplatz],0)),4),1)="0",RIGHT(INDEX(tblStellplatz[SAP],MATCH(PlanLayout!AN10,tblStellplatz[Stellplatz],0)),5),RIGHT(INDEX(tblStellplatz[SAP],MATCH(PlanLayout!AN10,tblStellplatz[Stellplatz],0)),4))),"?"))</f>
        <v/>
      </c>
      <c r="AO10" s="4">
        <f>IF(PlanLayout!AO10="","",PlanLayout!AO10&amp;CHAR(10)&amp;IFERROR(IF(INDEX(tblStellplatz[SAP],MATCH(PlanLayout!AO10,tblStellplatz[Stellplatz],0))="","leer",IF(LEFT(RIGHT(INDEX(tblStellplatz[SAP],MATCH(PlanLayout!AO10,tblStellplatz[Stellplatz],0)),4),1)="0",RIGHT(INDEX(tblStellplatz[SAP],MATCH(PlanLayout!AO10,tblStellplatz[Stellplatz],0)),5),RIGHT(INDEX(tblStellplatz[SAP],MATCH(PlanLayout!AO10,tblStellplatz[Stellplatz],0)),4))),"?"))</f>
        <v/>
      </c>
    </row>
    <row r="11" ht="30" customHeight="1">
      <c r="B11" s="4">
        <f>IF(PlanLayout!B11="","",PlanLayout!B11&amp;CHAR(10)&amp;IFERROR(IF(INDEX(tblStellplatz[SAP],MATCH(PlanLayout!B11,tblStellplatz[Stellplatz],0))="","leer",IF(LEFT(RIGHT(INDEX(tblStellplatz[SAP],MATCH(PlanLayout!B11,tblStellplatz[Stellplatz],0)),4),1)="0",RIGHT(INDEX(tblStellplatz[SAP],MATCH(PlanLayout!B11,tblStellplatz[Stellplatz],0)),5),RIGHT(INDEX(tblStellplatz[SAP],MATCH(PlanLayout!B11,tblStellplatz[Stellplatz],0)),4))),"?"))</f>
        <v/>
      </c>
      <c r="C11" s="4">
        <f>IF(PlanLayout!C11="","",PlanLayout!C11&amp;CHAR(10)&amp;IFERROR(IF(INDEX(tblStellplatz[SAP],MATCH(PlanLayout!C11,tblStellplatz[Stellplatz],0))="","leer",IF(LEFT(RIGHT(INDEX(tblStellplatz[SAP],MATCH(PlanLayout!C11,tblStellplatz[Stellplatz],0)),4),1)="0",RIGHT(INDEX(tblStellplatz[SAP],MATCH(PlanLayout!C11,tblStellplatz[Stellplatz],0)),5),RIGHT(INDEX(tblStellplatz[SAP],MATCH(PlanLayout!C11,tblStellplatz[Stellplatz],0)),4))),"?"))</f>
        <v/>
      </c>
      <c r="D11" s="4">
        <f>IF(PlanLayout!D11="","",PlanLayout!D11&amp;CHAR(10)&amp;IFERROR(IF(INDEX(tblStellplatz[SAP],MATCH(PlanLayout!D11,tblStellplatz[Stellplatz],0))="","leer",IF(LEFT(RIGHT(INDEX(tblStellplatz[SAP],MATCH(PlanLayout!D11,tblStellplatz[Stellplatz],0)),4),1)="0",RIGHT(INDEX(tblStellplatz[SAP],MATCH(PlanLayout!D11,tblStellplatz[Stellplatz],0)),5),RIGHT(INDEX(tblStellplatz[SAP],MATCH(PlanLayout!D11,tblStellplatz[Stellplatz],0)),4))),"?"))</f>
        <v/>
      </c>
      <c r="E11" s="4">
        <f>IF(PlanLayout!E11="","",PlanLayout!E11&amp;CHAR(10)&amp;IFERROR(IF(INDEX(tblStellplatz[SAP],MATCH(PlanLayout!E11,tblStellplatz[Stellplatz],0))="","leer",IF(LEFT(RIGHT(INDEX(tblStellplatz[SAP],MATCH(PlanLayout!E11,tblStellplatz[Stellplatz],0)),4),1)="0",RIGHT(INDEX(tblStellplatz[SAP],MATCH(PlanLayout!E11,tblStellplatz[Stellplatz],0)),5),RIGHT(INDEX(tblStellplatz[SAP],MATCH(PlanLayout!E11,tblStellplatz[Stellplatz],0)),4))),"?"))</f>
        <v/>
      </c>
      <c r="F11" s="4">
        <f>IF(PlanLayout!F11="","",PlanLayout!F11&amp;CHAR(10)&amp;IFERROR(IF(INDEX(tblStellplatz[SAP],MATCH(PlanLayout!F11,tblStellplatz[Stellplatz],0))="","leer",IF(LEFT(RIGHT(INDEX(tblStellplatz[SAP],MATCH(PlanLayout!F11,tblStellplatz[Stellplatz],0)),4),1)="0",RIGHT(INDEX(tblStellplatz[SAP],MATCH(PlanLayout!F11,tblStellplatz[Stellplatz],0)),5),RIGHT(INDEX(tblStellplatz[SAP],MATCH(PlanLayout!F11,tblStellplatz[Stellplatz],0)),4))),"?"))</f>
        <v/>
      </c>
      <c r="G11" s="4">
        <f>IF(PlanLayout!G11="","",PlanLayout!G11&amp;CHAR(10)&amp;IFERROR(IF(INDEX(tblStellplatz[SAP],MATCH(PlanLayout!G11,tblStellplatz[Stellplatz],0))="","leer",IF(LEFT(RIGHT(INDEX(tblStellplatz[SAP],MATCH(PlanLayout!G11,tblStellplatz[Stellplatz],0)),4),1)="0",RIGHT(INDEX(tblStellplatz[SAP],MATCH(PlanLayout!G11,tblStellplatz[Stellplatz],0)),5),RIGHT(INDEX(tblStellplatz[SAP],MATCH(PlanLayout!G11,tblStellplatz[Stellplatz],0)),4))),"?"))</f>
        <v/>
      </c>
      <c r="H11" s="4">
        <f>IF(PlanLayout!H11="","",PlanLayout!H11&amp;CHAR(10)&amp;IFERROR(IF(INDEX(tblStellplatz[SAP],MATCH(PlanLayout!H11,tblStellplatz[Stellplatz],0))="","leer",IF(LEFT(RIGHT(INDEX(tblStellplatz[SAP],MATCH(PlanLayout!H11,tblStellplatz[Stellplatz],0)),4),1)="0",RIGHT(INDEX(tblStellplatz[SAP],MATCH(PlanLayout!H11,tblStellplatz[Stellplatz],0)),5),RIGHT(INDEX(tblStellplatz[SAP],MATCH(PlanLayout!H11,tblStellplatz[Stellplatz],0)),4))),"?"))</f>
        <v/>
      </c>
      <c r="I11" s="4">
        <f>IF(PlanLayout!I11="","",PlanLayout!I11&amp;CHAR(10)&amp;IFERROR(IF(INDEX(tblStellplatz[SAP],MATCH(PlanLayout!I11,tblStellplatz[Stellplatz],0))="","leer",IF(LEFT(RIGHT(INDEX(tblStellplatz[SAP],MATCH(PlanLayout!I11,tblStellplatz[Stellplatz],0)),4),1)="0",RIGHT(INDEX(tblStellplatz[SAP],MATCH(PlanLayout!I11,tblStellplatz[Stellplatz],0)),5),RIGHT(INDEX(tblStellplatz[SAP],MATCH(PlanLayout!I11,tblStellplatz[Stellplatz],0)),4))),"?"))</f>
        <v/>
      </c>
      <c r="J11" s="4">
        <f>IF(PlanLayout!J11="","",PlanLayout!J11&amp;CHAR(10)&amp;IFERROR(IF(INDEX(tblStellplatz[SAP],MATCH(PlanLayout!J11,tblStellplatz[Stellplatz],0))="","leer",IF(LEFT(RIGHT(INDEX(tblStellplatz[SAP],MATCH(PlanLayout!J11,tblStellplatz[Stellplatz],0)),4),1)="0",RIGHT(INDEX(tblStellplatz[SAP],MATCH(PlanLayout!J11,tblStellplatz[Stellplatz],0)),5),RIGHT(INDEX(tblStellplatz[SAP],MATCH(PlanLayout!J11,tblStellplatz[Stellplatz],0)),4))),"?"))</f>
        <v/>
      </c>
      <c r="K11" s="4">
        <f>IF(PlanLayout!K11="","",PlanLayout!K11&amp;CHAR(10)&amp;IFERROR(IF(INDEX(tblStellplatz[SAP],MATCH(PlanLayout!K11,tblStellplatz[Stellplatz],0))="","leer",IF(LEFT(RIGHT(INDEX(tblStellplatz[SAP],MATCH(PlanLayout!K11,tblStellplatz[Stellplatz],0)),4),1)="0",RIGHT(INDEX(tblStellplatz[SAP],MATCH(PlanLayout!K11,tblStellplatz[Stellplatz],0)),5),RIGHT(INDEX(tblStellplatz[SAP],MATCH(PlanLayout!K11,tblStellplatz[Stellplatz],0)),4))),"?"))</f>
        <v/>
      </c>
      <c r="L11" s="4">
        <f>IF(PlanLayout!L11="","",PlanLayout!L11&amp;CHAR(10)&amp;IFERROR(IF(INDEX(tblStellplatz[SAP],MATCH(PlanLayout!L11,tblStellplatz[Stellplatz],0))="","leer",IF(LEFT(RIGHT(INDEX(tblStellplatz[SAP],MATCH(PlanLayout!L11,tblStellplatz[Stellplatz],0)),4),1)="0",RIGHT(INDEX(tblStellplatz[SAP],MATCH(PlanLayout!L11,tblStellplatz[Stellplatz],0)),5),RIGHT(INDEX(tblStellplatz[SAP],MATCH(PlanLayout!L11,tblStellplatz[Stellplatz],0)),4))),"?"))</f>
        <v/>
      </c>
      <c r="M11" s="4">
        <f>IF(PlanLayout!M11="","",PlanLayout!M11&amp;CHAR(10)&amp;IFERROR(IF(INDEX(tblStellplatz[SAP],MATCH(PlanLayout!M11,tblStellplatz[Stellplatz],0))="","leer",IF(LEFT(RIGHT(INDEX(tblStellplatz[SAP],MATCH(PlanLayout!M11,tblStellplatz[Stellplatz],0)),4),1)="0",RIGHT(INDEX(tblStellplatz[SAP],MATCH(PlanLayout!M11,tblStellplatz[Stellplatz],0)),5),RIGHT(INDEX(tblStellplatz[SAP],MATCH(PlanLayout!M11,tblStellplatz[Stellplatz],0)),4))),"?"))</f>
        <v/>
      </c>
      <c r="N11" s="4">
        <f>IF(PlanLayout!N11="","",PlanLayout!N11&amp;CHAR(10)&amp;IFERROR(IF(INDEX(tblStellplatz[SAP],MATCH(PlanLayout!N11,tblStellplatz[Stellplatz],0))="","leer",IF(LEFT(RIGHT(INDEX(tblStellplatz[SAP],MATCH(PlanLayout!N11,tblStellplatz[Stellplatz],0)),4),1)="0",RIGHT(INDEX(tblStellplatz[SAP],MATCH(PlanLayout!N11,tblStellplatz[Stellplatz],0)),5),RIGHT(INDEX(tblStellplatz[SAP],MATCH(PlanLayout!N11,tblStellplatz[Stellplatz],0)),4))),"?"))</f>
        <v/>
      </c>
      <c r="O11" s="4">
        <f>IF(PlanLayout!O11="","",PlanLayout!O11&amp;CHAR(10)&amp;IFERROR(IF(INDEX(tblStellplatz[SAP],MATCH(PlanLayout!O11,tblStellplatz[Stellplatz],0))="","leer",IF(LEFT(RIGHT(INDEX(tblStellplatz[SAP],MATCH(PlanLayout!O11,tblStellplatz[Stellplatz],0)),4),1)="0",RIGHT(INDEX(tblStellplatz[SAP],MATCH(PlanLayout!O11,tblStellplatz[Stellplatz],0)),5),RIGHT(INDEX(tblStellplatz[SAP],MATCH(PlanLayout!O11,tblStellplatz[Stellplatz],0)),4))),"?"))</f>
        <v/>
      </c>
      <c r="P11" s="4">
        <f>IF(PlanLayout!P11="","",PlanLayout!P11&amp;CHAR(10)&amp;IFERROR(IF(INDEX(tblStellplatz[SAP],MATCH(PlanLayout!P11,tblStellplatz[Stellplatz],0))="","leer",IF(LEFT(RIGHT(INDEX(tblStellplatz[SAP],MATCH(PlanLayout!P11,tblStellplatz[Stellplatz],0)),4),1)="0",RIGHT(INDEX(tblStellplatz[SAP],MATCH(PlanLayout!P11,tblStellplatz[Stellplatz],0)),5),RIGHT(INDEX(tblStellplatz[SAP],MATCH(PlanLayout!P11,tblStellplatz[Stellplatz],0)),4))),"?"))</f>
        <v/>
      </c>
      <c r="Q11" s="4">
        <f>IF(PlanLayout!Q11="","",PlanLayout!Q11&amp;CHAR(10)&amp;IFERROR(IF(INDEX(tblStellplatz[SAP],MATCH(PlanLayout!Q11,tblStellplatz[Stellplatz],0))="","leer",IF(LEFT(RIGHT(INDEX(tblStellplatz[SAP],MATCH(PlanLayout!Q11,tblStellplatz[Stellplatz],0)),4),1)="0",RIGHT(INDEX(tblStellplatz[SAP],MATCH(PlanLayout!Q11,tblStellplatz[Stellplatz],0)),5),RIGHT(INDEX(tblStellplatz[SAP],MATCH(PlanLayout!Q11,tblStellplatz[Stellplatz],0)),4))),"?"))</f>
        <v/>
      </c>
      <c r="R11" s="4">
        <f>IF(PlanLayout!R11="","",PlanLayout!R11&amp;CHAR(10)&amp;IFERROR(IF(INDEX(tblStellplatz[SAP],MATCH(PlanLayout!R11,tblStellplatz[Stellplatz],0))="","leer",IF(LEFT(RIGHT(INDEX(tblStellplatz[SAP],MATCH(PlanLayout!R11,tblStellplatz[Stellplatz],0)),4),1)="0",RIGHT(INDEX(tblStellplatz[SAP],MATCH(PlanLayout!R11,tblStellplatz[Stellplatz],0)),5),RIGHT(INDEX(tblStellplatz[SAP],MATCH(PlanLayout!R11,tblStellplatz[Stellplatz],0)),4))),"?"))</f>
        <v/>
      </c>
      <c r="S11" s="4">
        <f>IF(PlanLayout!S11="","",PlanLayout!S11&amp;CHAR(10)&amp;IFERROR(IF(INDEX(tblStellplatz[SAP],MATCH(PlanLayout!S11,tblStellplatz[Stellplatz],0))="","leer",IF(LEFT(RIGHT(INDEX(tblStellplatz[SAP],MATCH(PlanLayout!S11,tblStellplatz[Stellplatz],0)),4),1)="0",RIGHT(INDEX(tblStellplatz[SAP],MATCH(PlanLayout!S11,tblStellplatz[Stellplatz],0)),5),RIGHT(INDEX(tblStellplatz[SAP],MATCH(PlanLayout!S11,tblStellplatz[Stellplatz],0)),4))),"?"))</f>
        <v/>
      </c>
      <c r="T11" s="4">
        <f>IF(PlanLayout!T11="","",PlanLayout!T11&amp;CHAR(10)&amp;IFERROR(IF(INDEX(tblStellplatz[SAP],MATCH(PlanLayout!T11,tblStellplatz[Stellplatz],0))="","leer",IF(LEFT(RIGHT(INDEX(tblStellplatz[SAP],MATCH(PlanLayout!T11,tblStellplatz[Stellplatz],0)),4),1)="0",RIGHT(INDEX(tblStellplatz[SAP],MATCH(PlanLayout!T11,tblStellplatz[Stellplatz],0)),5),RIGHT(INDEX(tblStellplatz[SAP],MATCH(PlanLayout!T11,tblStellplatz[Stellplatz],0)),4))),"?"))</f>
        <v/>
      </c>
      <c r="U11" s="4">
        <f>IF(PlanLayout!U11="","",PlanLayout!U11&amp;CHAR(10)&amp;IFERROR(IF(INDEX(tblStellplatz[SAP],MATCH(PlanLayout!U11,tblStellplatz[Stellplatz],0))="","leer",IF(LEFT(RIGHT(INDEX(tblStellplatz[SAP],MATCH(PlanLayout!U11,tblStellplatz[Stellplatz],0)),4),1)="0",RIGHT(INDEX(tblStellplatz[SAP],MATCH(PlanLayout!U11,tblStellplatz[Stellplatz],0)),5),RIGHT(INDEX(tblStellplatz[SAP],MATCH(PlanLayout!U11,tblStellplatz[Stellplatz],0)),4))),"?"))</f>
        <v/>
      </c>
      <c r="V11" s="4">
        <f>IF(PlanLayout!V11="","",PlanLayout!V11&amp;CHAR(10)&amp;IFERROR(IF(INDEX(tblStellplatz[SAP],MATCH(PlanLayout!V11,tblStellplatz[Stellplatz],0))="","leer",IF(LEFT(RIGHT(INDEX(tblStellplatz[SAP],MATCH(PlanLayout!V11,tblStellplatz[Stellplatz],0)),4),1)="0",RIGHT(INDEX(tblStellplatz[SAP],MATCH(PlanLayout!V11,tblStellplatz[Stellplatz],0)),5),RIGHT(INDEX(tblStellplatz[SAP],MATCH(PlanLayout!V11,tblStellplatz[Stellplatz],0)),4))),"?"))</f>
        <v/>
      </c>
      <c r="W11" s="4">
        <f>IF(PlanLayout!W11="","",PlanLayout!W11&amp;CHAR(10)&amp;IFERROR(IF(INDEX(tblStellplatz[SAP],MATCH(PlanLayout!W11,tblStellplatz[Stellplatz],0))="","leer",IF(LEFT(RIGHT(INDEX(tblStellplatz[SAP],MATCH(PlanLayout!W11,tblStellplatz[Stellplatz],0)),4),1)="0",RIGHT(INDEX(tblStellplatz[SAP],MATCH(PlanLayout!W11,tblStellplatz[Stellplatz],0)),5),RIGHT(INDEX(tblStellplatz[SAP],MATCH(PlanLayout!W11,tblStellplatz[Stellplatz],0)),4))),"?"))</f>
        <v/>
      </c>
      <c r="X11" s="4">
        <f>IF(PlanLayout!X11="","",PlanLayout!X11&amp;CHAR(10)&amp;IFERROR(IF(INDEX(tblStellplatz[SAP],MATCH(PlanLayout!X11,tblStellplatz[Stellplatz],0))="","leer",IF(LEFT(RIGHT(INDEX(tblStellplatz[SAP],MATCH(PlanLayout!X11,tblStellplatz[Stellplatz],0)),4),1)="0",RIGHT(INDEX(tblStellplatz[SAP],MATCH(PlanLayout!X11,tblStellplatz[Stellplatz],0)),5),RIGHT(INDEX(tblStellplatz[SAP],MATCH(PlanLayout!X11,tblStellplatz[Stellplatz],0)),4))),"?"))</f>
        <v/>
      </c>
      <c r="Y11" s="4">
        <f>IF(PlanLayout!Y11="","",PlanLayout!Y11&amp;CHAR(10)&amp;IFERROR(IF(INDEX(tblStellplatz[SAP],MATCH(PlanLayout!Y11,tblStellplatz[Stellplatz],0))="","leer",IF(LEFT(RIGHT(INDEX(tblStellplatz[SAP],MATCH(PlanLayout!Y11,tblStellplatz[Stellplatz],0)),4),1)="0",RIGHT(INDEX(tblStellplatz[SAP],MATCH(PlanLayout!Y11,tblStellplatz[Stellplatz],0)),5),RIGHT(INDEX(tblStellplatz[SAP],MATCH(PlanLayout!Y11,tblStellplatz[Stellplatz],0)),4))),"?"))</f>
        <v/>
      </c>
      <c r="Z11" s="4">
        <f>IF(PlanLayout!Z11="","",PlanLayout!Z11&amp;CHAR(10)&amp;IFERROR(IF(INDEX(tblStellplatz[SAP],MATCH(PlanLayout!Z11,tblStellplatz[Stellplatz],0))="","leer",IF(LEFT(RIGHT(INDEX(tblStellplatz[SAP],MATCH(PlanLayout!Z11,tblStellplatz[Stellplatz],0)),4),1)="0",RIGHT(INDEX(tblStellplatz[SAP],MATCH(PlanLayout!Z11,tblStellplatz[Stellplatz],0)),5),RIGHT(INDEX(tblStellplatz[SAP],MATCH(PlanLayout!Z11,tblStellplatz[Stellplatz],0)),4))),"?"))</f>
        <v/>
      </c>
      <c r="AA11" s="4">
        <f>IF(PlanLayout!AA11="","",PlanLayout!AA11&amp;CHAR(10)&amp;IFERROR(IF(INDEX(tblStellplatz[SAP],MATCH(PlanLayout!AA11,tblStellplatz[Stellplatz],0))="","leer",IF(LEFT(RIGHT(INDEX(tblStellplatz[SAP],MATCH(PlanLayout!AA11,tblStellplatz[Stellplatz],0)),4),1)="0",RIGHT(INDEX(tblStellplatz[SAP],MATCH(PlanLayout!AA11,tblStellplatz[Stellplatz],0)),5),RIGHT(INDEX(tblStellplatz[SAP],MATCH(PlanLayout!AA11,tblStellplatz[Stellplatz],0)),4))),"?"))</f>
        <v/>
      </c>
      <c r="AB11" s="4">
        <f>IF(PlanLayout!AB11="","",PlanLayout!AB11&amp;CHAR(10)&amp;IFERROR(IF(INDEX(tblStellplatz[SAP],MATCH(PlanLayout!AB11,tblStellplatz[Stellplatz],0))="","leer",IF(LEFT(RIGHT(INDEX(tblStellplatz[SAP],MATCH(PlanLayout!AB11,tblStellplatz[Stellplatz],0)),4),1)="0",RIGHT(INDEX(tblStellplatz[SAP],MATCH(PlanLayout!AB11,tblStellplatz[Stellplatz],0)),5),RIGHT(INDEX(tblStellplatz[SAP],MATCH(PlanLayout!AB11,tblStellplatz[Stellplatz],0)),4))),"?"))</f>
        <v/>
      </c>
      <c r="AC11" s="4">
        <f>IF(PlanLayout!AC11="","",PlanLayout!AC11&amp;CHAR(10)&amp;IFERROR(IF(INDEX(tblStellplatz[SAP],MATCH(PlanLayout!AC11,tblStellplatz[Stellplatz],0))="","leer",IF(LEFT(RIGHT(INDEX(tblStellplatz[SAP],MATCH(PlanLayout!AC11,tblStellplatz[Stellplatz],0)),4),1)="0",RIGHT(INDEX(tblStellplatz[SAP],MATCH(PlanLayout!AC11,tblStellplatz[Stellplatz],0)),5),RIGHT(INDEX(tblStellplatz[SAP],MATCH(PlanLayout!AC11,tblStellplatz[Stellplatz],0)),4))),"?"))</f>
        <v/>
      </c>
      <c r="AD11" s="4">
        <f>IF(PlanLayout!AD11="","",PlanLayout!AD11&amp;CHAR(10)&amp;IFERROR(IF(INDEX(tblStellplatz[SAP],MATCH(PlanLayout!AD11,tblStellplatz[Stellplatz],0))="","leer",IF(LEFT(RIGHT(INDEX(tblStellplatz[SAP],MATCH(PlanLayout!AD11,tblStellplatz[Stellplatz],0)),4),1)="0",RIGHT(INDEX(tblStellplatz[SAP],MATCH(PlanLayout!AD11,tblStellplatz[Stellplatz],0)),5),RIGHT(INDEX(tblStellplatz[SAP],MATCH(PlanLayout!AD11,tblStellplatz[Stellplatz],0)),4))),"?"))</f>
        <v/>
      </c>
      <c r="AE11" s="4">
        <f>IF(PlanLayout!AE11="","",PlanLayout!AE11&amp;CHAR(10)&amp;IFERROR(IF(INDEX(tblStellplatz[SAP],MATCH(PlanLayout!AE11,tblStellplatz[Stellplatz],0))="","leer",IF(LEFT(RIGHT(INDEX(tblStellplatz[SAP],MATCH(PlanLayout!AE11,tblStellplatz[Stellplatz],0)),4),1)="0",RIGHT(INDEX(tblStellplatz[SAP],MATCH(PlanLayout!AE11,tblStellplatz[Stellplatz],0)),5),RIGHT(INDEX(tblStellplatz[SAP],MATCH(PlanLayout!AE11,tblStellplatz[Stellplatz],0)),4))),"?"))</f>
        <v/>
      </c>
      <c r="AF11" s="4">
        <f>IF(PlanLayout!AF11="","",PlanLayout!AF11&amp;CHAR(10)&amp;IFERROR(IF(INDEX(tblStellplatz[SAP],MATCH(PlanLayout!AF11,tblStellplatz[Stellplatz],0))="","leer",IF(LEFT(RIGHT(INDEX(tblStellplatz[SAP],MATCH(PlanLayout!AF11,tblStellplatz[Stellplatz],0)),4),1)="0",RIGHT(INDEX(tblStellplatz[SAP],MATCH(PlanLayout!AF11,tblStellplatz[Stellplatz],0)),5),RIGHT(INDEX(tblStellplatz[SAP],MATCH(PlanLayout!AF11,tblStellplatz[Stellplatz],0)),4))),"?"))</f>
        <v/>
      </c>
      <c r="AG11" s="4">
        <f>IF(PlanLayout!AG11="","",PlanLayout!AG11&amp;CHAR(10)&amp;IFERROR(IF(INDEX(tblStellplatz[SAP],MATCH(PlanLayout!AG11,tblStellplatz[Stellplatz],0))="","leer",IF(LEFT(RIGHT(INDEX(tblStellplatz[SAP],MATCH(PlanLayout!AG11,tblStellplatz[Stellplatz],0)),4),1)="0",RIGHT(INDEX(tblStellplatz[SAP],MATCH(PlanLayout!AG11,tblStellplatz[Stellplatz],0)),5),RIGHT(INDEX(tblStellplatz[SAP],MATCH(PlanLayout!AG11,tblStellplatz[Stellplatz],0)),4))),"?"))</f>
        <v/>
      </c>
      <c r="AH11" s="4">
        <f>IF(PlanLayout!AH11="","",PlanLayout!AH11&amp;CHAR(10)&amp;IFERROR(IF(INDEX(tblStellplatz[SAP],MATCH(PlanLayout!AH11,tblStellplatz[Stellplatz],0))="","leer",IF(LEFT(RIGHT(INDEX(tblStellplatz[SAP],MATCH(PlanLayout!AH11,tblStellplatz[Stellplatz],0)),4),1)="0",RIGHT(INDEX(tblStellplatz[SAP],MATCH(PlanLayout!AH11,tblStellplatz[Stellplatz],0)),5),RIGHT(INDEX(tblStellplatz[SAP],MATCH(PlanLayout!AH11,tblStellplatz[Stellplatz],0)),4))),"?"))</f>
        <v/>
      </c>
      <c r="AI11" s="4">
        <f>IF(PlanLayout!AI11="","",PlanLayout!AI11&amp;CHAR(10)&amp;IFERROR(IF(INDEX(tblStellplatz[SAP],MATCH(PlanLayout!AI11,tblStellplatz[Stellplatz],0))="","leer",IF(LEFT(RIGHT(INDEX(tblStellplatz[SAP],MATCH(PlanLayout!AI11,tblStellplatz[Stellplatz],0)),4),1)="0",RIGHT(INDEX(tblStellplatz[SAP],MATCH(PlanLayout!AI11,tblStellplatz[Stellplatz],0)),5),RIGHT(INDEX(tblStellplatz[SAP],MATCH(PlanLayout!AI11,tblStellplatz[Stellplatz],0)),4))),"?"))</f>
        <v/>
      </c>
      <c r="AJ11" s="4">
        <f>IF(PlanLayout!AJ11="","",PlanLayout!AJ11&amp;CHAR(10)&amp;IFERROR(IF(INDEX(tblStellplatz[SAP],MATCH(PlanLayout!AJ11,tblStellplatz[Stellplatz],0))="","leer",IF(LEFT(RIGHT(INDEX(tblStellplatz[SAP],MATCH(PlanLayout!AJ11,tblStellplatz[Stellplatz],0)),4),1)="0",RIGHT(INDEX(tblStellplatz[SAP],MATCH(PlanLayout!AJ11,tblStellplatz[Stellplatz],0)),5),RIGHT(INDEX(tblStellplatz[SAP],MATCH(PlanLayout!AJ11,tblStellplatz[Stellplatz],0)),4))),"?"))</f>
        <v/>
      </c>
      <c r="AK11" s="4">
        <f>IF(PlanLayout!AK11="","",PlanLayout!AK11&amp;CHAR(10)&amp;IFERROR(IF(INDEX(tblStellplatz[SAP],MATCH(PlanLayout!AK11,tblStellplatz[Stellplatz],0))="","leer",IF(LEFT(RIGHT(INDEX(tblStellplatz[SAP],MATCH(PlanLayout!AK11,tblStellplatz[Stellplatz],0)),4),1)="0",RIGHT(INDEX(tblStellplatz[SAP],MATCH(PlanLayout!AK11,tblStellplatz[Stellplatz],0)),5),RIGHT(INDEX(tblStellplatz[SAP],MATCH(PlanLayout!AK11,tblStellplatz[Stellplatz],0)),4))),"?"))</f>
        <v/>
      </c>
      <c r="AL11" s="4">
        <f>IF(PlanLayout!AL11="","",PlanLayout!AL11&amp;CHAR(10)&amp;IFERROR(IF(INDEX(tblStellplatz[SAP],MATCH(PlanLayout!AL11,tblStellplatz[Stellplatz],0))="","leer",IF(LEFT(RIGHT(INDEX(tblStellplatz[SAP],MATCH(PlanLayout!AL11,tblStellplatz[Stellplatz],0)),4),1)="0",RIGHT(INDEX(tblStellplatz[SAP],MATCH(PlanLayout!AL11,tblStellplatz[Stellplatz],0)),5),RIGHT(INDEX(tblStellplatz[SAP],MATCH(PlanLayout!AL11,tblStellplatz[Stellplatz],0)),4))),"?"))</f>
        <v/>
      </c>
      <c r="AM11" s="4">
        <f>IF(PlanLayout!AM11="","",PlanLayout!AM11&amp;CHAR(10)&amp;IFERROR(IF(INDEX(tblStellplatz[SAP],MATCH(PlanLayout!AM11,tblStellplatz[Stellplatz],0))="","leer",IF(LEFT(RIGHT(INDEX(tblStellplatz[SAP],MATCH(PlanLayout!AM11,tblStellplatz[Stellplatz],0)),4),1)="0",RIGHT(INDEX(tblStellplatz[SAP],MATCH(PlanLayout!AM11,tblStellplatz[Stellplatz],0)),5),RIGHT(INDEX(tblStellplatz[SAP],MATCH(PlanLayout!AM11,tblStellplatz[Stellplatz],0)),4))),"?"))</f>
        <v/>
      </c>
      <c r="AN11" s="4">
        <f>IF(PlanLayout!AN11="","",PlanLayout!AN11&amp;CHAR(10)&amp;IFERROR(IF(INDEX(tblStellplatz[SAP],MATCH(PlanLayout!AN11,tblStellplatz[Stellplatz],0))="","leer",IF(LEFT(RIGHT(INDEX(tblStellplatz[SAP],MATCH(PlanLayout!AN11,tblStellplatz[Stellplatz],0)),4),1)="0",RIGHT(INDEX(tblStellplatz[SAP],MATCH(PlanLayout!AN11,tblStellplatz[Stellplatz],0)),5),RIGHT(INDEX(tblStellplatz[SAP],MATCH(PlanLayout!AN11,tblStellplatz[Stellplatz],0)),4))),"?"))</f>
        <v/>
      </c>
      <c r="AO11" s="4">
        <f>IF(PlanLayout!AO11="","",PlanLayout!AO11&amp;CHAR(10)&amp;IFERROR(IF(INDEX(tblStellplatz[SAP],MATCH(PlanLayout!AO11,tblStellplatz[Stellplatz],0))="","leer",IF(LEFT(RIGHT(INDEX(tblStellplatz[SAP],MATCH(PlanLayout!AO11,tblStellplatz[Stellplatz],0)),4),1)="0",RIGHT(INDEX(tblStellplatz[SAP],MATCH(PlanLayout!AO11,tblStellplatz[Stellplatz],0)),5),RIGHT(INDEX(tblStellplatz[SAP],MATCH(PlanLayout!AO11,tblStellplatz[Stellplatz],0)),4))),"?"))</f>
        <v/>
      </c>
    </row>
    <row r="12" ht="30" customHeight="1">
      <c r="B12" s="4">
        <f>IF(PlanLayout!B12="","",PlanLayout!B12&amp;CHAR(10)&amp;IFERROR(IF(INDEX(tblStellplatz[SAP],MATCH(PlanLayout!B12,tblStellplatz[Stellplatz],0))="","leer",IF(LEFT(RIGHT(INDEX(tblStellplatz[SAP],MATCH(PlanLayout!B12,tblStellplatz[Stellplatz],0)),4),1)="0",RIGHT(INDEX(tblStellplatz[SAP],MATCH(PlanLayout!B12,tblStellplatz[Stellplatz],0)),5),RIGHT(INDEX(tblStellplatz[SAP],MATCH(PlanLayout!B12,tblStellplatz[Stellplatz],0)),4))),"?"))</f>
        <v/>
      </c>
      <c r="C12" s="4">
        <f>IF(PlanLayout!C12="","",PlanLayout!C12&amp;CHAR(10)&amp;IFERROR(IF(INDEX(tblStellplatz[SAP],MATCH(PlanLayout!C12,tblStellplatz[Stellplatz],0))="","leer",IF(LEFT(RIGHT(INDEX(tblStellplatz[SAP],MATCH(PlanLayout!C12,tblStellplatz[Stellplatz],0)),4),1)="0",RIGHT(INDEX(tblStellplatz[SAP],MATCH(PlanLayout!C12,tblStellplatz[Stellplatz],0)),5),RIGHT(INDEX(tblStellplatz[SAP],MATCH(PlanLayout!C12,tblStellplatz[Stellplatz],0)),4))),"?"))</f>
        <v/>
      </c>
      <c r="D12" s="4">
        <f>IF(PlanLayout!D12="","",PlanLayout!D12&amp;CHAR(10)&amp;IFERROR(IF(INDEX(tblStellplatz[SAP],MATCH(PlanLayout!D12,tblStellplatz[Stellplatz],0))="","leer",IF(LEFT(RIGHT(INDEX(tblStellplatz[SAP],MATCH(PlanLayout!D12,tblStellplatz[Stellplatz],0)),4),1)="0",RIGHT(INDEX(tblStellplatz[SAP],MATCH(PlanLayout!D12,tblStellplatz[Stellplatz],0)),5),RIGHT(INDEX(tblStellplatz[SAP],MATCH(PlanLayout!D12,tblStellplatz[Stellplatz],0)),4))),"?"))</f>
        <v/>
      </c>
      <c r="E12" s="4">
        <f>IF(PlanLayout!E12="","",PlanLayout!E12&amp;CHAR(10)&amp;IFERROR(IF(INDEX(tblStellplatz[SAP],MATCH(PlanLayout!E12,tblStellplatz[Stellplatz],0))="","leer",IF(LEFT(RIGHT(INDEX(tblStellplatz[SAP],MATCH(PlanLayout!E12,tblStellplatz[Stellplatz],0)),4),1)="0",RIGHT(INDEX(tblStellplatz[SAP],MATCH(PlanLayout!E12,tblStellplatz[Stellplatz],0)),5),RIGHT(INDEX(tblStellplatz[SAP],MATCH(PlanLayout!E12,tblStellplatz[Stellplatz],0)),4))),"?"))</f>
        <v/>
      </c>
      <c r="F12" s="4">
        <f>IF(PlanLayout!F12="","",PlanLayout!F12&amp;CHAR(10)&amp;IFERROR(IF(INDEX(tblStellplatz[SAP],MATCH(PlanLayout!F12,tblStellplatz[Stellplatz],0))="","leer",IF(LEFT(RIGHT(INDEX(tblStellplatz[SAP],MATCH(PlanLayout!F12,tblStellplatz[Stellplatz],0)),4),1)="0",RIGHT(INDEX(tblStellplatz[SAP],MATCH(PlanLayout!F12,tblStellplatz[Stellplatz],0)),5),RIGHT(INDEX(tblStellplatz[SAP],MATCH(PlanLayout!F12,tblStellplatz[Stellplatz],0)),4))),"?"))</f>
        <v/>
      </c>
      <c r="G12" s="4">
        <f>IF(PlanLayout!G12="","",PlanLayout!G12&amp;CHAR(10)&amp;IFERROR(IF(INDEX(tblStellplatz[SAP],MATCH(PlanLayout!G12,tblStellplatz[Stellplatz],0))="","leer",IF(LEFT(RIGHT(INDEX(tblStellplatz[SAP],MATCH(PlanLayout!G12,tblStellplatz[Stellplatz],0)),4),1)="0",RIGHT(INDEX(tblStellplatz[SAP],MATCH(PlanLayout!G12,tblStellplatz[Stellplatz],0)),5),RIGHT(INDEX(tblStellplatz[SAP],MATCH(PlanLayout!G12,tblStellplatz[Stellplatz],0)),4))),"?"))</f>
        <v/>
      </c>
      <c r="H12" s="4">
        <f>IF(PlanLayout!H12="","",PlanLayout!H12&amp;CHAR(10)&amp;IFERROR(IF(INDEX(tblStellplatz[SAP],MATCH(PlanLayout!H12,tblStellplatz[Stellplatz],0))="","leer",IF(LEFT(RIGHT(INDEX(tblStellplatz[SAP],MATCH(PlanLayout!H12,tblStellplatz[Stellplatz],0)),4),1)="0",RIGHT(INDEX(tblStellplatz[SAP],MATCH(PlanLayout!H12,tblStellplatz[Stellplatz],0)),5),RIGHT(INDEX(tblStellplatz[SAP],MATCH(PlanLayout!H12,tblStellplatz[Stellplatz],0)),4))),"?"))</f>
        <v/>
      </c>
      <c r="I12" s="4">
        <f>IF(PlanLayout!I12="","",PlanLayout!I12&amp;CHAR(10)&amp;IFERROR(IF(INDEX(tblStellplatz[SAP],MATCH(PlanLayout!I12,tblStellplatz[Stellplatz],0))="","leer",IF(LEFT(RIGHT(INDEX(tblStellplatz[SAP],MATCH(PlanLayout!I12,tblStellplatz[Stellplatz],0)),4),1)="0",RIGHT(INDEX(tblStellplatz[SAP],MATCH(PlanLayout!I12,tblStellplatz[Stellplatz],0)),5),RIGHT(INDEX(tblStellplatz[SAP],MATCH(PlanLayout!I12,tblStellplatz[Stellplatz],0)),4))),"?"))</f>
        <v/>
      </c>
      <c r="J12" s="4">
        <f>IF(PlanLayout!J12="","",PlanLayout!J12&amp;CHAR(10)&amp;IFERROR(IF(INDEX(tblStellplatz[SAP],MATCH(PlanLayout!J12,tblStellplatz[Stellplatz],0))="","leer",IF(LEFT(RIGHT(INDEX(tblStellplatz[SAP],MATCH(PlanLayout!J12,tblStellplatz[Stellplatz],0)),4),1)="0",RIGHT(INDEX(tblStellplatz[SAP],MATCH(PlanLayout!J12,tblStellplatz[Stellplatz],0)),5),RIGHT(INDEX(tblStellplatz[SAP],MATCH(PlanLayout!J12,tblStellplatz[Stellplatz],0)),4))),"?"))</f>
        <v/>
      </c>
      <c r="K12" s="4">
        <f>IF(PlanLayout!K12="","",PlanLayout!K12&amp;CHAR(10)&amp;IFERROR(IF(INDEX(tblStellplatz[SAP],MATCH(PlanLayout!K12,tblStellplatz[Stellplatz],0))="","leer",IF(LEFT(RIGHT(INDEX(tblStellplatz[SAP],MATCH(PlanLayout!K12,tblStellplatz[Stellplatz],0)),4),1)="0",RIGHT(INDEX(tblStellplatz[SAP],MATCH(PlanLayout!K12,tblStellplatz[Stellplatz],0)),5),RIGHT(INDEX(tblStellplatz[SAP],MATCH(PlanLayout!K12,tblStellplatz[Stellplatz],0)),4))),"?"))</f>
        <v/>
      </c>
      <c r="L12" s="4">
        <f>IF(PlanLayout!L12="","",PlanLayout!L12&amp;CHAR(10)&amp;IFERROR(IF(INDEX(tblStellplatz[SAP],MATCH(PlanLayout!L12,tblStellplatz[Stellplatz],0))="","leer",IF(LEFT(RIGHT(INDEX(tblStellplatz[SAP],MATCH(PlanLayout!L12,tblStellplatz[Stellplatz],0)),4),1)="0",RIGHT(INDEX(tblStellplatz[SAP],MATCH(PlanLayout!L12,tblStellplatz[Stellplatz],0)),5),RIGHT(INDEX(tblStellplatz[SAP],MATCH(PlanLayout!L12,tblStellplatz[Stellplatz],0)),4))),"?"))</f>
        <v/>
      </c>
      <c r="M12" s="4">
        <f>IF(PlanLayout!M12="","",PlanLayout!M12&amp;CHAR(10)&amp;IFERROR(IF(INDEX(tblStellplatz[SAP],MATCH(PlanLayout!M12,tblStellplatz[Stellplatz],0))="","leer",IF(LEFT(RIGHT(INDEX(tblStellplatz[SAP],MATCH(PlanLayout!M12,tblStellplatz[Stellplatz],0)),4),1)="0",RIGHT(INDEX(tblStellplatz[SAP],MATCH(PlanLayout!M12,tblStellplatz[Stellplatz],0)),5),RIGHT(INDEX(tblStellplatz[SAP],MATCH(PlanLayout!M12,tblStellplatz[Stellplatz],0)),4))),"?"))</f>
        <v/>
      </c>
      <c r="N12" s="4">
        <f>IF(PlanLayout!N12="","",PlanLayout!N12&amp;CHAR(10)&amp;IFERROR(IF(INDEX(tblStellplatz[SAP],MATCH(PlanLayout!N12,tblStellplatz[Stellplatz],0))="","leer",IF(LEFT(RIGHT(INDEX(tblStellplatz[SAP],MATCH(PlanLayout!N12,tblStellplatz[Stellplatz],0)),4),1)="0",RIGHT(INDEX(tblStellplatz[SAP],MATCH(PlanLayout!N12,tblStellplatz[Stellplatz],0)),5),RIGHT(INDEX(tblStellplatz[SAP],MATCH(PlanLayout!N12,tblStellplatz[Stellplatz],0)),4))),"?"))</f>
        <v/>
      </c>
      <c r="O12" s="4">
        <f>IF(PlanLayout!O12="","",PlanLayout!O12&amp;CHAR(10)&amp;IFERROR(IF(INDEX(tblStellplatz[SAP],MATCH(PlanLayout!O12,tblStellplatz[Stellplatz],0))="","leer",IF(LEFT(RIGHT(INDEX(tblStellplatz[SAP],MATCH(PlanLayout!O12,tblStellplatz[Stellplatz],0)),4),1)="0",RIGHT(INDEX(tblStellplatz[SAP],MATCH(PlanLayout!O12,tblStellplatz[Stellplatz],0)),5),RIGHT(INDEX(tblStellplatz[SAP],MATCH(PlanLayout!O12,tblStellplatz[Stellplatz],0)),4))),"?"))</f>
        <v/>
      </c>
      <c r="P12" s="4">
        <f>IF(PlanLayout!P12="","",PlanLayout!P12&amp;CHAR(10)&amp;IFERROR(IF(INDEX(tblStellplatz[SAP],MATCH(PlanLayout!P12,tblStellplatz[Stellplatz],0))="","leer",IF(LEFT(RIGHT(INDEX(tblStellplatz[SAP],MATCH(PlanLayout!P12,tblStellplatz[Stellplatz],0)),4),1)="0",RIGHT(INDEX(tblStellplatz[SAP],MATCH(PlanLayout!P12,tblStellplatz[Stellplatz],0)),5),RIGHT(INDEX(tblStellplatz[SAP],MATCH(PlanLayout!P12,tblStellplatz[Stellplatz],0)),4))),"?"))</f>
        <v/>
      </c>
      <c r="Q12" s="4">
        <f>IF(PlanLayout!Q12="","",PlanLayout!Q12&amp;CHAR(10)&amp;IFERROR(IF(INDEX(tblStellplatz[SAP],MATCH(PlanLayout!Q12,tblStellplatz[Stellplatz],0))="","leer",IF(LEFT(RIGHT(INDEX(tblStellplatz[SAP],MATCH(PlanLayout!Q12,tblStellplatz[Stellplatz],0)),4),1)="0",RIGHT(INDEX(tblStellplatz[SAP],MATCH(PlanLayout!Q12,tblStellplatz[Stellplatz],0)),5),RIGHT(INDEX(tblStellplatz[SAP],MATCH(PlanLayout!Q12,tblStellplatz[Stellplatz],0)),4))),"?"))</f>
        <v/>
      </c>
      <c r="R12" s="4">
        <f>IF(PlanLayout!R12="","",PlanLayout!R12&amp;CHAR(10)&amp;IFERROR(IF(INDEX(tblStellplatz[SAP],MATCH(PlanLayout!R12,tblStellplatz[Stellplatz],0))="","leer",IF(LEFT(RIGHT(INDEX(tblStellplatz[SAP],MATCH(PlanLayout!R12,tblStellplatz[Stellplatz],0)),4),1)="0",RIGHT(INDEX(tblStellplatz[SAP],MATCH(PlanLayout!R12,tblStellplatz[Stellplatz],0)),5),RIGHT(INDEX(tblStellplatz[SAP],MATCH(PlanLayout!R12,tblStellplatz[Stellplatz],0)),4))),"?"))</f>
        <v/>
      </c>
      <c r="S12" s="4">
        <f>IF(PlanLayout!S12="","",PlanLayout!S12&amp;CHAR(10)&amp;IFERROR(IF(INDEX(tblStellplatz[SAP],MATCH(PlanLayout!S12,tblStellplatz[Stellplatz],0))="","leer",IF(LEFT(RIGHT(INDEX(tblStellplatz[SAP],MATCH(PlanLayout!S12,tblStellplatz[Stellplatz],0)),4),1)="0",RIGHT(INDEX(tblStellplatz[SAP],MATCH(PlanLayout!S12,tblStellplatz[Stellplatz],0)),5),RIGHT(INDEX(tblStellplatz[SAP],MATCH(PlanLayout!S12,tblStellplatz[Stellplatz],0)),4))),"?"))</f>
        <v/>
      </c>
      <c r="T12" s="4">
        <f>IF(PlanLayout!T12="","",PlanLayout!T12&amp;CHAR(10)&amp;IFERROR(IF(INDEX(tblStellplatz[SAP],MATCH(PlanLayout!T12,tblStellplatz[Stellplatz],0))="","leer",IF(LEFT(RIGHT(INDEX(tblStellplatz[SAP],MATCH(PlanLayout!T12,tblStellplatz[Stellplatz],0)),4),1)="0",RIGHT(INDEX(tblStellplatz[SAP],MATCH(PlanLayout!T12,tblStellplatz[Stellplatz],0)),5),RIGHT(INDEX(tblStellplatz[SAP],MATCH(PlanLayout!T12,tblStellplatz[Stellplatz],0)),4))),"?"))</f>
        <v/>
      </c>
      <c r="U12" s="4">
        <f>IF(PlanLayout!U12="","",PlanLayout!U12&amp;CHAR(10)&amp;IFERROR(IF(INDEX(tblStellplatz[SAP],MATCH(PlanLayout!U12,tblStellplatz[Stellplatz],0))="","leer",IF(LEFT(RIGHT(INDEX(tblStellplatz[SAP],MATCH(PlanLayout!U12,tblStellplatz[Stellplatz],0)),4),1)="0",RIGHT(INDEX(tblStellplatz[SAP],MATCH(PlanLayout!U12,tblStellplatz[Stellplatz],0)),5),RIGHT(INDEX(tblStellplatz[SAP],MATCH(PlanLayout!U12,tblStellplatz[Stellplatz],0)),4))),"?"))</f>
        <v/>
      </c>
      <c r="V12" s="4">
        <f>IF(PlanLayout!V12="","",PlanLayout!V12&amp;CHAR(10)&amp;IFERROR(IF(INDEX(tblStellplatz[SAP],MATCH(PlanLayout!V12,tblStellplatz[Stellplatz],0))="","leer",IF(LEFT(RIGHT(INDEX(tblStellplatz[SAP],MATCH(PlanLayout!V12,tblStellplatz[Stellplatz],0)),4),1)="0",RIGHT(INDEX(tblStellplatz[SAP],MATCH(PlanLayout!V12,tblStellplatz[Stellplatz],0)),5),RIGHT(INDEX(tblStellplatz[SAP],MATCH(PlanLayout!V12,tblStellplatz[Stellplatz],0)),4))),"?"))</f>
        <v/>
      </c>
      <c r="W12" s="4">
        <f>IF(PlanLayout!W12="","",PlanLayout!W12&amp;CHAR(10)&amp;IFERROR(IF(INDEX(tblStellplatz[SAP],MATCH(PlanLayout!W12,tblStellplatz[Stellplatz],0))="","leer",IF(LEFT(RIGHT(INDEX(tblStellplatz[SAP],MATCH(PlanLayout!W12,tblStellplatz[Stellplatz],0)),4),1)="0",RIGHT(INDEX(tblStellplatz[SAP],MATCH(PlanLayout!W12,tblStellplatz[Stellplatz],0)),5),RIGHT(INDEX(tblStellplatz[SAP],MATCH(PlanLayout!W12,tblStellplatz[Stellplatz],0)),4))),"?"))</f>
        <v/>
      </c>
      <c r="X12" s="4">
        <f>IF(PlanLayout!X12="","",PlanLayout!X12&amp;CHAR(10)&amp;IFERROR(IF(INDEX(tblStellplatz[SAP],MATCH(PlanLayout!X12,tblStellplatz[Stellplatz],0))="","leer",IF(LEFT(RIGHT(INDEX(tblStellplatz[SAP],MATCH(PlanLayout!X12,tblStellplatz[Stellplatz],0)),4),1)="0",RIGHT(INDEX(tblStellplatz[SAP],MATCH(PlanLayout!X12,tblStellplatz[Stellplatz],0)),5),RIGHT(INDEX(tblStellplatz[SAP],MATCH(PlanLayout!X12,tblStellplatz[Stellplatz],0)),4))),"?"))</f>
        <v/>
      </c>
      <c r="Y12" s="4">
        <f>IF(PlanLayout!Y12="","",PlanLayout!Y12&amp;CHAR(10)&amp;IFERROR(IF(INDEX(tblStellplatz[SAP],MATCH(PlanLayout!Y12,tblStellplatz[Stellplatz],0))="","leer",IF(LEFT(RIGHT(INDEX(tblStellplatz[SAP],MATCH(PlanLayout!Y12,tblStellplatz[Stellplatz],0)),4),1)="0",RIGHT(INDEX(tblStellplatz[SAP],MATCH(PlanLayout!Y12,tblStellplatz[Stellplatz],0)),5),RIGHT(INDEX(tblStellplatz[SAP],MATCH(PlanLayout!Y12,tblStellplatz[Stellplatz],0)),4))),"?"))</f>
        <v/>
      </c>
      <c r="Z12" s="4">
        <f>IF(PlanLayout!Z12="","",PlanLayout!Z12&amp;CHAR(10)&amp;IFERROR(IF(INDEX(tblStellplatz[SAP],MATCH(PlanLayout!Z12,tblStellplatz[Stellplatz],0))="","leer",IF(LEFT(RIGHT(INDEX(tblStellplatz[SAP],MATCH(PlanLayout!Z12,tblStellplatz[Stellplatz],0)),4),1)="0",RIGHT(INDEX(tblStellplatz[SAP],MATCH(PlanLayout!Z12,tblStellplatz[Stellplatz],0)),5),RIGHT(INDEX(tblStellplatz[SAP],MATCH(PlanLayout!Z12,tblStellplatz[Stellplatz],0)),4))),"?"))</f>
        <v/>
      </c>
      <c r="AA12" s="4">
        <f>IF(PlanLayout!AA12="","",PlanLayout!AA12&amp;CHAR(10)&amp;IFERROR(IF(INDEX(tblStellplatz[SAP],MATCH(PlanLayout!AA12,tblStellplatz[Stellplatz],0))="","leer",IF(LEFT(RIGHT(INDEX(tblStellplatz[SAP],MATCH(PlanLayout!AA12,tblStellplatz[Stellplatz],0)),4),1)="0",RIGHT(INDEX(tblStellplatz[SAP],MATCH(PlanLayout!AA12,tblStellplatz[Stellplatz],0)),5),RIGHT(INDEX(tblStellplatz[SAP],MATCH(PlanLayout!AA12,tblStellplatz[Stellplatz],0)),4))),"?"))</f>
        <v/>
      </c>
      <c r="AB12" s="4">
        <f>IF(PlanLayout!AB12="","",PlanLayout!AB12&amp;CHAR(10)&amp;IFERROR(IF(INDEX(tblStellplatz[SAP],MATCH(PlanLayout!AB12,tblStellplatz[Stellplatz],0))="","leer",IF(LEFT(RIGHT(INDEX(tblStellplatz[SAP],MATCH(PlanLayout!AB12,tblStellplatz[Stellplatz],0)),4),1)="0",RIGHT(INDEX(tblStellplatz[SAP],MATCH(PlanLayout!AB12,tblStellplatz[Stellplatz],0)),5),RIGHT(INDEX(tblStellplatz[SAP],MATCH(PlanLayout!AB12,tblStellplatz[Stellplatz],0)),4))),"?"))</f>
        <v/>
      </c>
      <c r="AC12" s="4">
        <f>IF(PlanLayout!AC12="","",PlanLayout!AC12&amp;CHAR(10)&amp;IFERROR(IF(INDEX(tblStellplatz[SAP],MATCH(PlanLayout!AC12,tblStellplatz[Stellplatz],0))="","leer",IF(LEFT(RIGHT(INDEX(tblStellplatz[SAP],MATCH(PlanLayout!AC12,tblStellplatz[Stellplatz],0)),4),1)="0",RIGHT(INDEX(tblStellplatz[SAP],MATCH(PlanLayout!AC12,tblStellplatz[Stellplatz],0)),5),RIGHT(INDEX(tblStellplatz[SAP],MATCH(PlanLayout!AC12,tblStellplatz[Stellplatz],0)),4))),"?"))</f>
        <v/>
      </c>
      <c r="AD12" s="4">
        <f>IF(PlanLayout!AD12="","",PlanLayout!AD12&amp;CHAR(10)&amp;IFERROR(IF(INDEX(tblStellplatz[SAP],MATCH(PlanLayout!AD12,tblStellplatz[Stellplatz],0))="","leer",IF(LEFT(RIGHT(INDEX(tblStellplatz[SAP],MATCH(PlanLayout!AD12,tblStellplatz[Stellplatz],0)),4),1)="0",RIGHT(INDEX(tblStellplatz[SAP],MATCH(PlanLayout!AD12,tblStellplatz[Stellplatz],0)),5),RIGHT(INDEX(tblStellplatz[SAP],MATCH(PlanLayout!AD12,tblStellplatz[Stellplatz],0)),4))),"?"))</f>
        <v/>
      </c>
      <c r="AE12" s="4">
        <f>IF(PlanLayout!AE12="","",PlanLayout!AE12&amp;CHAR(10)&amp;IFERROR(IF(INDEX(tblStellplatz[SAP],MATCH(PlanLayout!AE12,tblStellplatz[Stellplatz],0))="","leer",IF(LEFT(RIGHT(INDEX(tblStellplatz[SAP],MATCH(PlanLayout!AE12,tblStellplatz[Stellplatz],0)),4),1)="0",RIGHT(INDEX(tblStellplatz[SAP],MATCH(PlanLayout!AE12,tblStellplatz[Stellplatz],0)),5),RIGHT(INDEX(tblStellplatz[SAP],MATCH(PlanLayout!AE12,tblStellplatz[Stellplatz],0)),4))),"?"))</f>
        <v/>
      </c>
      <c r="AF12" s="4">
        <f>IF(PlanLayout!AF12="","",PlanLayout!AF12&amp;CHAR(10)&amp;IFERROR(IF(INDEX(tblStellplatz[SAP],MATCH(PlanLayout!AF12,tblStellplatz[Stellplatz],0))="","leer",IF(LEFT(RIGHT(INDEX(tblStellplatz[SAP],MATCH(PlanLayout!AF12,tblStellplatz[Stellplatz],0)),4),1)="0",RIGHT(INDEX(tblStellplatz[SAP],MATCH(PlanLayout!AF12,tblStellplatz[Stellplatz],0)),5),RIGHT(INDEX(tblStellplatz[SAP],MATCH(PlanLayout!AF12,tblStellplatz[Stellplatz],0)),4))),"?"))</f>
        <v/>
      </c>
      <c r="AG12" s="4">
        <f>IF(PlanLayout!AG12="","",PlanLayout!AG12&amp;CHAR(10)&amp;IFERROR(IF(INDEX(tblStellplatz[SAP],MATCH(PlanLayout!AG12,tblStellplatz[Stellplatz],0))="","leer",IF(LEFT(RIGHT(INDEX(tblStellplatz[SAP],MATCH(PlanLayout!AG12,tblStellplatz[Stellplatz],0)),4),1)="0",RIGHT(INDEX(tblStellplatz[SAP],MATCH(PlanLayout!AG12,tblStellplatz[Stellplatz],0)),5),RIGHT(INDEX(tblStellplatz[SAP],MATCH(PlanLayout!AG12,tblStellplatz[Stellplatz],0)),4))),"?"))</f>
        <v/>
      </c>
      <c r="AH12" s="4">
        <f>IF(PlanLayout!AH12="","",PlanLayout!AH12&amp;CHAR(10)&amp;IFERROR(IF(INDEX(tblStellplatz[SAP],MATCH(PlanLayout!AH12,tblStellplatz[Stellplatz],0))="","leer",IF(LEFT(RIGHT(INDEX(tblStellplatz[SAP],MATCH(PlanLayout!AH12,tblStellplatz[Stellplatz],0)),4),1)="0",RIGHT(INDEX(tblStellplatz[SAP],MATCH(PlanLayout!AH12,tblStellplatz[Stellplatz],0)),5),RIGHT(INDEX(tblStellplatz[SAP],MATCH(PlanLayout!AH12,tblStellplatz[Stellplatz],0)),4))),"?"))</f>
        <v/>
      </c>
      <c r="AI12" s="4">
        <f>IF(PlanLayout!AI12="","",PlanLayout!AI12&amp;CHAR(10)&amp;IFERROR(IF(INDEX(tblStellplatz[SAP],MATCH(PlanLayout!AI12,tblStellplatz[Stellplatz],0))="","leer",IF(LEFT(RIGHT(INDEX(tblStellplatz[SAP],MATCH(PlanLayout!AI12,tblStellplatz[Stellplatz],0)),4),1)="0",RIGHT(INDEX(tblStellplatz[SAP],MATCH(PlanLayout!AI12,tblStellplatz[Stellplatz],0)),5),RIGHT(INDEX(tblStellplatz[SAP],MATCH(PlanLayout!AI12,tblStellplatz[Stellplatz],0)),4))),"?"))</f>
        <v/>
      </c>
      <c r="AJ12" s="4">
        <f>IF(PlanLayout!AJ12="","",PlanLayout!AJ12&amp;CHAR(10)&amp;IFERROR(IF(INDEX(tblStellplatz[SAP],MATCH(PlanLayout!AJ12,tblStellplatz[Stellplatz],0))="","leer",IF(LEFT(RIGHT(INDEX(tblStellplatz[SAP],MATCH(PlanLayout!AJ12,tblStellplatz[Stellplatz],0)),4),1)="0",RIGHT(INDEX(tblStellplatz[SAP],MATCH(PlanLayout!AJ12,tblStellplatz[Stellplatz],0)),5),RIGHT(INDEX(tblStellplatz[SAP],MATCH(PlanLayout!AJ12,tblStellplatz[Stellplatz],0)),4))),"?"))</f>
        <v/>
      </c>
      <c r="AK12" s="4">
        <f>IF(PlanLayout!AK12="","",PlanLayout!AK12&amp;CHAR(10)&amp;IFERROR(IF(INDEX(tblStellplatz[SAP],MATCH(PlanLayout!AK12,tblStellplatz[Stellplatz],0))="","leer",IF(LEFT(RIGHT(INDEX(tblStellplatz[SAP],MATCH(PlanLayout!AK12,tblStellplatz[Stellplatz],0)),4),1)="0",RIGHT(INDEX(tblStellplatz[SAP],MATCH(PlanLayout!AK12,tblStellplatz[Stellplatz],0)),5),RIGHT(INDEX(tblStellplatz[SAP],MATCH(PlanLayout!AK12,tblStellplatz[Stellplatz],0)),4))),"?"))</f>
        <v/>
      </c>
      <c r="AL12" s="4">
        <f>IF(PlanLayout!AL12="","",PlanLayout!AL12&amp;CHAR(10)&amp;IFERROR(IF(INDEX(tblStellplatz[SAP],MATCH(PlanLayout!AL12,tblStellplatz[Stellplatz],0))="","leer",IF(LEFT(RIGHT(INDEX(tblStellplatz[SAP],MATCH(PlanLayout!AL12,tblStellplatz[Stellplatz],0)),4),1)="0",RIGHT(INDEX(tblStellplatz[SAP],MATCH(PlanLayout!AL12,tblStellplatz[Stellplatz],0)),5),RIGHT(INDEX(tblStellplatz[SAP],MATCH(PlanLayout!AL12,tblStellplatz[Stellplatz],0)),4))),"?"))</f>
        <v/>
      </c>
      <c r="AM12" s="4">
        <f>IF(PlanLayout!AM12="","",PlanLayout!AM12&amp;CHAR(10)&amp;IFERROR(IF(INDEX(tblStellplatz[SAP],MATCH(PlanLayout!AM12,tblStellplatz[Stellplatz],0))="","leer",IF(LEFT(RIGHT(INDEX(tblStellplatz[SAP],MATCH(PlanLayout!AM12,tblStellplatz[Stellplatz],0)),4),1)="0",RIGHT(INDEX(tblStellplatz[SAP],MATCH(PlanLayout!AM12,tblStellplatz[Stellplatz],0)),5),RIGHT(INDEX(tblStellplatz[SAP],MATCH(PlanLayout!AM12,tblStellplatz[Stellplatz],0)),4))),"?"))</f>
        <v/>
      </c>
      <c r="AN12" s="4">
        <f>IF(PlanLayout!AN12="","",PlanLayout!AN12&amp;CHAR(10)&amp;IFERROR(IF(INDEX(tblStellplatz[SAP],MATCH(PlanLayout!AN12,tblStellplatz[Stellplatz],0))="","leer",IF(LEFT(RIGHT(INDEX(tblStellplatz[SAP],MATCH(PlanLayout!AN12,tblStellplatz[Stellplatz],0)),4),1)="0",RIGHT(INDEX(tblStellplatz[SAP],MATCH(PlanLayout!AN12,tblStellplatz[Stellplatz],0)),5),RIGHT(INDEX(tblStellplatz[SAP],MATCH(PlanLayout!AN12,tblStellplatz[Stellplatz],0)),4))),"?"))</f>
        <v/>
      </c>
      <c r="AO12" s="4">
        <f>IF(PlanLayout!AO12="","",PlanLayout!AO12&amp;CHAR(10)&amp;IFERROR(IF(INDEX(tblStellplatz[SAP],MATCH(PlanLayout!AO12,tblStellplatz[Stellplatz],0))="","leer",IF(LEFT(RIGHT(INDEX(tblStellplatz[SAP],MATCH(PlanLayout!AO12,tblStellplatz[Stellplatz],0)),4),1)="0",RIGHT(INDEX(tblStellplatz[SAP],MATCH(PlanLayout!AO12,tblStellplatz[Stellplatz],0)),5),RIGHT(INDEX(tblStellplatz[SAP],MATCH(PlanLayout!AO12,tblStellplatz[Stellplatz],0)),4))),"?"))</f>
        <v/>
      </c>
    </row>
    <row r="13" ht="30" customHeight="1">
      <c r="B13" s="4">
        <f>IF(PlanLayout!B13="","",PlanLayout!B13&amp;CHAR(10)&amp;IFERROR(IF(INDEX(tblStellplatz[SAP],MATCH(PlanLayout!B13,tblStellplatz[Stellplatz],0))="","leer",IF(LEFT(RIGHT(INDEX(tblStellplatz[SAP],MATCH(PlanLayout!B13,tblStellplatz[Stellplatz],0)),4),1)="0",RIGHT(INDEX(tblStellplatz[SAP],MATCH(PlanLayout!B13,tblStellplatz[Stellplatz],0)),5),RIGHT(INDEX(tblStellplatz[SAP],MATCH(PlanLayout!B13,tblStellplatz[Stellplatz],0)),4))),"?"))</f>
        <v/>
      </c>
      <c r="C13" s="4">
        <f>IF(PlanLayout!C13="","",PlanLayout!C13&amp;CHAR(10)&amp;IFERROR(IF(INDEX(tblStellplatz[SAP],MATCH(PlanLayout!C13,tblStellplatz[Stellplatz],0))="","leer",IF(LEFT(RIGHT(INDEX(tblStellplatz[SAP],MATCH(PlanLayout!C13,tblStellplatz[Stellplatz],0)),4),1)="0",RIGHT(INDEX(tblStellplatz[SAP],MATCH(PlanLayout!C13,tblStellplatz[Stellplatz],0)),5),RIGHT(INDEX(tblStellplatz[SAP],MATCH(PlanLayout!C13,tblStellplatz[Stellplatz],0)),4))),"?"))</f>
        <v/>
      </c>
      <c r="D13" s="4">
        <f>IF(PlanLayout!D13="","",PlanLayout!D13&amp;CHAR(10)&amp;IFERROR(IF(INDEX(tblStellplatz[SAP],MATCH(PlanLayout!D13,tblStellplatz[Stellplatz],0))="","leer",IF(LEFT(RIGHT(INDEX(tblStellplatz[SAP],MATCH(PlanLayout!D13,tblStellplatz[Stellplatz],0)),4),1)="0",RIGHT(INDEX(tblStellplatz[SAP],MATCH(PlanLayout!D13,tblStellplatz[Stellplatz],0)),5),RIGHT(INDEX(tblStellplatz[SAP],MATCH(PlanLayout!D13,tblStellplatz[Stellplatz],0)),4))),"?"))</f>
        <v/>
      </c>
      <c r="E13" s="4">
        <f>IF(PlanLayout!E13="","",PlanLayout!E13&amp;CHAR(10)&amp;IFERROR(IF(INDEX(tblStellplatz[SAP],MATCH(PlanLayout!E13,tblStellplatz[Stellplatz],0))="","leer",IF(LEFT(RIGHT(INDEX(tblStellplatz[SAP],MATCH(PlanLayout!E13,tblStellplatz[Stellplatz],0)),4),1)="0",RIGHT(INDEX(tblStellplatz[SAP],MATCH(PlanLayout!E13,tblStellplatz[Stellplatz],0)),5),RIGHT(INDEX(tblStellplatz[SAP],MATCH(PlanLayout!E13,tblStellplatz[Stellplatz],0)),4))),"?"))</f>
        <v/>
      </c>
      <c r="F13" s="4">
        <f>IF(PlanLayout!F13="","",PlanLayout!F13&amp;CHAR(10)&amp;IFERROR(IF(INDEX(tblStellplatz[SAP],MATCH(PlanLayout!F13,tblStellplatz[Stellplatz],0))="","leer",IF(LEFT(RIGHT(INDEX(tblStellplatz[SAP],MATCH(PlanLayout!F13,tblStellplatz[Stellplatz],0)),4),1)="0",RIGHT(INDEX(tblStellplatz[SAP],MATCH(PlanLayout!F13,tblStellplatz[Stellplatz],0)),5),RIGHT(INDEX(tblStellplatz[SAP],MATCH(PlanLayout!F13,tblStellplatz[Stellplatz],0)),4))),"?"))</f>
        <v/>
      </c>
      <c r="G13" s="4">
        <f>IF(PlanLayout!G13="","",PlanLayout!G13&amp;CHAR(10)&amp;IFERROR(IF(INDEX(tblStellplatz[SAP],MATCH(PlanLayout!G13,tblStellplatz[Stellplatz],0))="","leer",IF(LEFT(RIGHT(INDEX(tblStellplatz[SAP],MATCH(PlanLayout!G13,tblStellplatz[Stellplatz],0)),4),1)="0",RIGHT(INDEX(tblStellplatz[SAP],MATCH(PlanLayout!G13,tblStellplatz[Stellplatz],0)),5),RIGHT(INDEX(tblStellplatz[SAP],MATCH(PlanLayout!G13,tblStellplatz[Stellplatz],0)),4))),"?"))</f>
        <v/>
      </c>
      <c r="H13" s="4">
        <f>IF(PlanLayout!H13="","",PlanLayout!H13&amp;CHAR(10)&amp;IFERROR(IF(INDEX(tblStellplatz[SAP],MATCH(PlanLayout!H13,tblStellplatz[Stellplatz],0))="","leer",IF(LEFT(RIGHT(INDEX(tblStellplatz[SAP],MATCH(PlanLayout!H13,tblStellplatz[Stellplatz],0)),4),1)="0",RIGHT(INDEX(tblStellplatz[SAP],MATCH(PlanLayout!H13,tblStellplatz[Stellplatz],0)),5),RIGHT(INDEX(tblStellplatz[SAP],MATCH(PlanLayout!H13,tblStellplatz[Stellplatz],0)),4))),"?"))</f>
        <v/>
      </c>
      <c r="I13" s="4">
        <f>IF(PlanLayout!I13="","",PlanLayout!I13&amp;CHAR(10)&amp;IFERROR(IF(INDEX(tblStellplatz[SAP],MATCH(PlanLayout!I13,tblStellplatz[Stellplatz],0))="","leer",IF(LEFT(RIGHT(INDEX(tblStellplatz[SAP],MATCH(PlanLayout!I13,tblStellplatz[Stellplatz],0)),4),1)="0",RIGHT(INDEX(tblStellplatz[SAP],MATCH(PlanLayout!I13,tblStellplatz[Stellplatz],0)),5),RIGHT(INDEX(tblStellplatz[SAP],MATCH(PlanLayout!I13,tblStellplatz[Stellplatz],0)),4))),"?"))</f>
        <v/>
      </c>
      <c r="J13" s="4">
        <f>IF(PlanLayout!J13="","",PlanLayout!J13&amp;CHAR(10)&amp;IFERROR(IF(INDEX(tblStellplatz[SAP],MATCH(PlanLayout!J13,tblStellplatz[Stellplatz],0))="","leer",IF(LEFT(RIGHT(INDEX(tblStellplatz[SAP],MATCH(PlanLayout!J13,tblStellplatz[Stellplatz],0)),4),1)="0",RIGHT(INDEX(tblStellplatz[SAP],MATCH(PlanLayout!J13,tblStellplatz[Stellplatz],0)),5),RIGHT(INDEX(tblStellplatz[SAP],MATCH(PlanLayout!J13,tblStellplatz[Stellplatz],0)),4))),"?"))</f>
        <v/>
      </c>
      <c r="K13" s="4">
        <f>IF(PlanLayout!K13="","",PlanLayout!K13&amp;CHAR(10)&amp;IFERROR(IF(INDEX(tblStellplatz[SAP],MATCH(PlanLayout!K13,tblStellplatz[Stellplatz],0))="","leer",IF(LEFT(RIGHT(INDEX(tblStellplatz[SAP],MATCH(PlanLayout!K13,tblStellplatz[Stellplatz],0)),4),1)="0",RIGHT(INDEX(tblStellplatz[SAP],MATCH(PlanLayout!K13,tblStellplatz[Stellplatz],0)),5),RIGHT(INDEX(tblStellplatz[SAP],MATCH(PlanLayout!K13,tblStellplatz[Stellplatz],0)),4))),"?"))</f>
        <v/>
      </c>
      <c r="L13" s="4">
        <f>IF(PlanLayout!L13="","",PlanLayout!L13&amp;CHAR(10)&amp;IFERROR(IF(INDEX(tblStellplatz[SAP],MATCH(PlanLayout!L13,tblStellplatz[Stellplatz],0))="","leer",IF(LEFT(RIGHT(INDEX(tblStellplatz[SAP],MATCH(PlanLayout!L13,tblStellplatz[Stellplatz],0)),4),1)="0",RIGHT(INDEX(tblStellplatz[SAP],MATCH(PlanLayout!L13,tblStellplatz[Stellplatz],0)),5),RIGHT(INDEX(tblStellplatz[SAP],MATCH(PlanLayout!L13,tblStellplatz[Stellplatz],0)),4))),"?"))</f>
        <v/>
      </c>
      <c r="M13" s="4">
        <f>IF(PlanLayout!M13="","",PlanLayout!M13&amp;CHAR(10)&amp;IFERROR(IF(INDEX(tblStellplatz[SAP],MATCH(PlanLayout!M13,tblStellplatz[Stellplatz],0))="","leer",IF(LEFT(RIGHT(INDEX(tblStellplatz[SAP],MATCH(PlanLayout!M13,tblStellplatz[Stellplatz],0)),4),1)="0",RIGHT(INDEX(tblStellplatz[SAP],MATCH(PlanLayout!M13,tblStellplatz[Stellplatz],0)),5),RIGHT(INDEX(tblStellplatz[SAP],MATCH(PlanLayout!M13,tblStellplatz[Stellplatz],0)),4))),"?"))</f>
        <v/>
      </c>
      <c r="N13" s="4">
        <f>IF(PlanLayout!N13="","",PlanLayout!N13&amp;CHAR(10)&amp;IFERROR(IF(INDEX(tblStellplatz[SAP],MATCH(PlanLayout!N13,tblStellplatz[Stellplatz],0))="","leer",IF(LEFT(RIGHT(INDEX(tblStellplatz[SAP],MATCH(PlanLayout!N13,tblStellplatz[Stellplatz],0)),4),1)="0",RIGHT(INDEX(tblStellplatz[SAP],MATCH(PlanLayout!N13,tblStellplatz[Stellplatz],0)),5),RIGHT(INDEX(tblStellplatz[SAP],MATCH(PlanLayout!N13,tblStellplatz[Stellplatz],0)),4))),"?"))</f>
        <v/>
      </c>
      <c r="O13" s="4">
        <f>IF(PlanLayout!O13="","",PlanLayout!O13&amp;CHAR(10)&amp;IFERROR(IF(INDEX(tblStellplatz[SAP],MATCH(PlanLayout!O13,tblStellplatz[Stellplatz],0))="","leer",IF(LEFT(RIGHT(INDEX(tblStellplatz[SAP],MATCH(PlanLayout!O13,tblStellplatz[Stellplatz],0)),4),1)="0",RIGHT(INDEX(tblStellplatz[SAP],MATCH(PlanLayout!O13,tblStellplatz[Stellplatz],0)),5),RIGHT(INDEX(tblStellplatz[SAP],MATCH(PlanLayout!O13,tblStellplatz[Stellplatz],0)),4))),"?"))</f>
        <v/>
      </c>
      <c r="P13" s="4">
        <f>IF(PlanLayout!P13="","",PlanLayout!P13&amp;CHAR(10)&amp;IFERROR(IF(INDEX(tblStellplatz[SAP],MATCH(PlanLayout!P13,tblStellplatz[Stellplatz],0))="","leer",IF(LEFT(RIGHT(INDEX(tblStellplatz[SAP],MATCH(PlanLayout!P13,tblStellplatz[Stellplatz],0)),4),1)="0",RIGHT(INDEX(tblStellplatz[SAP],MATCH(PlanLayout!P13,tblStellplatz[Stellplatz],0)),5),RIGHT(INDEX(tblStellplatz[SAP],MATCH(PlanLayout!P13,tblStellplatz[Stellplatz],0)),4))),"?"))</f>
        <v/>
      </c>
      <c r="Q13" s="4">
        <f>IF(PlanLayout!Q13="","",PlanLayout!Q13&amp;CHAR(10)&amp;IFERROR(IF(INDEX(tblStellplatz[SAP],MATCH(PlanLayout!Q13,tblStellplatz[Stellplatz],0))="","leer",IF(LEFT(RIGHT(INDEX(tblStellplatz[SAP],MATCH(PlanLayout!Q13,tblStellplatz[Stellplatz],0)),4),1)="0",RIGHT(INDEX(tblStellplatz[SAP],MATCH(PlanLayout!Q13,tblStellplatz[Stellplatz],0)),5),RIGHT(INDEX(tblStellplatz[SAP],MATCH(PlanLayout!Q13,tblStellplatz[Stellplatz],0)),4))),"?"))</f>
        <v/>
      </c>
      <c r="R13" s="4">
        <f>IF(PlanLayout!R13="","",PlanLayout!R13&amp;CHAR(10)&amp;IFERROR(IF(INDEX(tblStellplatz[SAP],MATCH(PlanLayout!R13,tblStellplatz[Stellplatz],0))="","leer",IF(LEFT(RIGHT(INDEX(tblStellplatz[SAP],MATCH(PlanLayout!R13,tblStellplatz[Stellplatz],0)),4),1)="0",RIGHT(INDEX(tblStellplatz[SAP],MATCH(PlanLayout!R13,tblStellplatz[Stellplatz],0)),5),RIGHT(INDEX(tblStellplatz[SAP],MATCH(PlanLayout!R13,tblStellplatz[Stellplatz],0)),4))),"?"))</f>
        <v/>
      </c>
      <c r="S13" s="4">
        <f>IF(PlanLayout!S13="","",PlanLayout!S13&amp;CHAR(10)&amp;IFERROR(IF(INDEX(tblStellplatz[SAP],MATCH(PlanLayout!S13,tblStellplatz[Stellplatz],0))="","leer",IF(LEFT(RIGHT(INDEX(tblStellplatz[SAP],MATCH(PlanLayout!S13,tblStellplatz[Stellplatz],0)),4),1)="0",RIGHT(INDEX(tblStellplatz[SAP],MATCH(PlanLayout!S13,tblStellplatz[Stellplatz],0)),5),RIGHT(INDEX(tblStellplatz[SAP],MATCH(PlanLayout!S13,tblStellplatz[Stellplatz],0)),4))),"?"))</f>
        <v/>
      </c>
      <c r="T13" s="4">
        <f>IF(PlanLayout!T13="","",PlanLayout!T13&amp;CHAR(10)&amp;IFERROR(IF(INDEX(tblStellplatz[SAP],MATCH(PlanLayout!T13,tblStellplatz[Stellplatz],0))="","leer",IF(LEFT(RIGHT(INDEX(tblStellplatz[SAP],MATCH(PlanLayout!T13,tblStellplatz[Stellplatz],0)),4),1)="0",RIGHT(INDEX(tblStellplatz[SAP],MATCH(PlanLayout!T13,tblStellplatz[Stellplatz],0)),5),RIGHT(INDEX(tblStellplatz[SAP],MATCH(PlanLayout!T13,tblStellplatz[Stellplatz],0)),4))),"?"))</f>
        <v/>
      </c>
      <c r="U13" s="4">
        <f>IF(PlanLayout!U13="","",PlanLayout!U13&amp;CHAR(10)&amp;IFERROR(IF(INDEX(tblStellplatz[SAP],MATCH(PlanLayout!U13,tblStellplatz[Stellplatz],0))="","leer",IF(LEFT(RIGHT(INDEX(tblStellplatz[SAP],MATCH(PlanLayout!U13,tblStellplatz[Stellplatz],0)),4),1)="0",RIGHT(INDEX(tblStellplatz[SAP],MATCH(PlanLayout!U13,tblStellplatz[Stellplatz],0)),5),RIGHT(INDEX(tblStellplatz[SAP],MATCH(PlanLayout!U13,tblStellplatz[Stellplatz],0)),4))),"?"))</f>
        <v/>
      </c>
      <c r="V13" s="4">
        <f>IF(PlanLayout!V13="","",PlanLayout!V13&amp;CHAR(10)&amp;IFERROR(IF(INDEX(tblStellplatz[SAP],MATCH(PlanLayout!V13,tblStellplatz[Stellplatz],0))="","leer",IF(LEFT(RIGHT(INDEX(tblStellplatz[SAP],MATCH(PlanLayout!V13,tblStellplatz[Stellplatz],0)),4),1)="0",RIGHT(INDEX(tblStellplatz[SAP],MATCH(PlanLayout!V13,tblStellplatz[Stellplatz],0)),5),RIGHT(INDEX(tblStellplatz[SAP],MATCH(PlanLayout!V13,tblStellplatz[Stellplatz],0)),4))),"?"))</f>
        <v/>
      </c>
      <c r="W13" s="4">
        <f>IF(PlanLayout!W13="","",PlanLayout!W13&amp;CHAR(10)&amp;IFERROR(IF(INDEX(tblStellplatz[SAP],MATCH(PlanLayout!W13,tblStellplatz[Stellplatz],0))="","leer",IF(LEFT(RIGHT(INDEX(tblStellplatz[SAP],MATCH(PlanLayout!W13,tblStellplatz[Stellplatz],0)),4),1)="0",RIGHT(INDEX(tblStellplatz[SAP],MATCH(PlanLayout!W13,tblStellplatz[Stellplatz],0)),5),RIGHT(INDEX(tblStellplatz[SAP],MATCH(PlanLayout!W13,tblStellplatz[Stellplatz],0)),4))),"?"))</f>
        <v/>
      </c>
      <c r="X13" s="4">
        <f>IF(PlanLayout!X13="","",PlanLayout!X13&amp;CHAR(10)&amp;IFERROR(IF(INDEX(tblStellplatz[SAP],MATCH(PlanLayout!X13,tblStellplatz[Stellplatz],0))="","leer",IF(LEFT(RIGHT(INDEX(tblStellplatz[SAP],MATCH(PlanLayout!X13,tblStellplatz[Stellplatz],0)),4),1)="0",RIGHT(INDEX(tblStellplatz[SAP],MATCH(PlanLayout!X13,tblStellplatz[Stellplatz],0)),5),RIGHT(INDEX(tblStellplatz[SAP],MATCH(PlanLayout!X13,tblStellplatz[Stellplatz],0)),4))),"?"))</f>
        <v/>
      </c>
      <c r="Y13" s="4">
        <f>IF(PlanLayout!Y13="","",PlanLayout!Y13&amp;CHAR(10)&amp;IFERROR(IF(INDEX(tblStellplatz[SAP],MATCH(PlanLayout!Y13,tblStellplatz[Stellplatz],0))="","leer",IF(LEFT(RIGHT(INDEX(tblStellplatz[SAP],MATCH(PlanLayout!Y13,tblStellplatz[Stellplatz],0)),4),1)="0",RIGHT(INDEX(tblStellplatz[SAP],MATCH(PlanLayout!Y13,tblStellplatz[Stellplatz],0)),5),RIGHT(INDEX(tblStellplatz[SAP],MATCH(PlanLayout!Y13,tblStellplatz[Stellplatz],0)),4))),"?"))</f>
        <v/>
      </c>
      <c r="Z13" s="4">
        <f>IF(PlanLayout!Z13="","",PlanLayout!Z13&amp;CHAR(10)&amp;IFERROR(IF(INDEX(tblStellplatz[SAP],MATCH(PlanLayout!Z13,tblStellplatz[Stellplatz],0))="","leer",IF(LEFT(RIGHT(INDEX(tblStellplatz[SAP],MATCH(PlanLayout!Z13,tblStellplatz[Stellplatz],0)),4),1)="0",RIGHT(INDEX(tblStellplatz[SAP],MATCH(PlanLayout!Z13,tblStellplatz[Stellplatz],0)),5),RIGHT(INDEX(tblStellplatz[SAP],MATCH(PlanLayout!Z13,tblStellplatz[Stellplatz],0)),4))),"?"))</f>
        <v/>
      </c>
      <c r="AA13" s="4">
        <f>IF(PlanLayout!AA13="","",PlanLayout!AA13&amp;CHAR(10)&amp;IFERROR(IF(INDEX(tblStellplatz[SAP],MATCH(PlanLayout!AA13,tblStellplatz[Stellplatz],0))="","leer",IF(LEFT(RIGHT(INDEX(tblStellplatz[SAP],MATCH(PlanLayout!AA13,tblStellplatz[Stellplatz],0)),4),1)="0",RIGHT(INDEX(tblStellplatz[SAP],MATCH(PlanLayout!AA13,tblStellplatz[Stellplatz],0)),5),RIGHT(INDEX(tblStellplatz[SAP],MATCH(PlanLayout!AA13,tblStellplatz[Stellplatz],0)),4))),"?"))</f>
        <v/>
      </c>
      <c r="AB13" s="4">
        <f>IF(PlanLayout!AB13="","",PlanLayout!AB13&amp;CHAR(10)&amp;IFERROR(IF(INDEX(tblStellplatz[SAP],MATCH(PlanLayout!AB13,tblStellplatz[Stellplatz],0))="","leer",IF(LEFT(RIGHT(INDEX(tblStellplatz[SAP],MATCH(PlanLayout!AB13,tblStellplatz[Stellplatz],0)),4),1)="0",RIGHT(INDEX(tblStellplatz[SAP],MATCH(PlanLayout!AB13,tblStellplatz[Stellplatz],0)),5),RIGHT(INDEX(tblStellplatz[SAP],MATCH(PlanLayout!AB13,tblStellplatz[Stellplatz],0)),4))),"?"))</f>
        <v/>
      </c>
      <c r="AC13" s="4">
        <f>IF(PlanLayout!AC13="","",PlanLayout!AC13&amp;CHAR(10)&amp;IFERROR(IF(INDEX(tblStellplatz[SAP],MATCH(PlanLayout!AC13,tblStellplatz[Stellplatz],0))="","leer",IF(LEFT(RIGHT(INDEX(tblStellplatz[SAP],MATCH(PlanLayout!AC13,tblStellplatz[Stellplatz],0)),4),1)="0",RIGHT(INDEX(tblStellplatz[SAP],MATCH(PlanLayout!AC13,tblStellplatz[Stellplatz],0)),5),RIGHT(INDEX(tblStellplatz[SAP],MATCH(PlanLayout!AC13,tblStellplatz[Stellplatz],0)),4))),"?"))</f>
        <v/>
      </c>
      <c r="AD13" s="4">
        <f>IF(PlanLayout!AD13="","",PlanLayout!AD13&amp;CHAR(10)&amp;IFERROR(IF(INDEX(tblStellplatz[SAP],MATCH(PlanLayout!AD13,tblStellplatz[Stellplatz],0))="","leer",IF(LEFT(RIGHT(INDEX(tblStellplatz[SAP],MATCH(PlanLayout!AD13,tblStellplatz[Stellplatz],0)),4),1)="0",RIGHT(INDEX(tblStellplatz[SAP],MATCH(PlanLayout!AD13,tblStellplatz[Stellplatz],0)),5),RIGHT(INDEX(tblStellplatz[SAP],MATCH(PlanLayout!AD13,tblStellplatz[Stellplatz],0)),4))),"?"))</f>
        <v/>
      </c>
      <c r="AE13" s="4">
        <f>IF(PlanLayout!AE13="","",PlanLayout!AE13&amp;CHAR(10)&amp;IFERROR(IF(INDEX(tblStellplatz[SAP],MATCH(PlanLayout!AE13,tblStellplatz[Stellplatz],0))="","leer",IF(LEFT(RIGHT(INDEX(tblStellplatz[SAP],MATCH(PlanLayout!AE13,tblStellplatz[Stellplatz],0)),4),1)="0",RIGHT(INDEX(tblStellplatz[SAP],MATCH(PlanLayout!AE13,tblStellplatz[Stellplatz],0)),5),RIGHT(INDEX(tblStellplatz[SAP],MATCH(PlanLayout!AE13,tblStellplatz[Stellplatz],0)),4))),"?"))</f>
        <v/>
      </c>
      <c r="AF13" s="4">
        <f>IF(PlanLayout!AF13="","",PlanLayout!AF13&amp;CHAR(10)&amp;IFERROR(IF(INDEX(tblStellplatz[SAP],MATCH(PlanLayout!AF13,tblStellplatz[Stellplatz],0))="","leer",IF(LEFT(RIGHT(INDEX(tblStellplatz[SAP],MATCH(PlanLayout!AF13,tblStellplatz[Stellplatz],0)),4),1)="0",RIGHT(INDEX(tblStellplatz[SAP],MATCH(PlanLayout!AF13,tblStellplatz[Stellplatz],0)),5),RIGHT(INDEX(tblStellplatz[SAP],MATCH(PlanLayout!AF13,tblStellplatz[Stellplatz],0)),4))),"?"))</f>
        <v/>
      </c>
      <c r="AG13" s="4">
        <f>IF(PlanLayout!AG13="","",PlanLayout!AG13&amp;CHAR(10)&amp;IFERROR(IF(INDEX(tblStellplatz[SAP],MATCH(PlanLayout!AG13,tblStellplatz[Stellplatz],0))="","leer",IF(LEFT(RIGHT(INDEX(tblStellplatz[SAP],MATCH(PlanLayout!AG13,tblStellplatz[Stellplatz],0)),4),1)="0",RIGHT(INDEX(tblStellplatz[SAP],MATCH(PlanLayout!AG13,tblStellplatz[Stellplatz],0)),5),RIGHT(INDEX(tblStellplatz[SAP],MATCH(PlanLayout!AG13,tblStellplatz[Stellplatz],0)),4))),"?"))</f>
        <v/>
      </c>
      <c r="AH13" s="4">
        <f>IF(PlanLayout!AH13="","",PlanLayout!AH13&amp;CHAR(10)&amp;IFERROR(IF(INDEX(tblStellplatz[SAP],MATCH(PlanLayout!AH13,tblStellplatz[Stellplatz],0))="","leer",IF(LEFT(RIGHT(INDEX(tblStellplatz[SAP],MATCH(PlanLayout!AH13,tblStellplatz[Stellplatz],0)),4),1)="0",RIGHT(INDEX(tblStellplatz[SAP],MATCH(PlanLayout!AH13,tblStellplatz[Stellplatz],0)),5),RIGHT(INDEX(tblStellplatz[SAP],MATCH(PlanLayout!AH13,tblStellplatz[Stellplatz],0)),4))),"?"))</f>
        <v/>
      </c>
      <c r="AI13" s="4">
        <f>IF(PlanLayout!AI13="","",PlanLayout!AI13&amp;CHAR(10)&amp;IFERROR(IF(INDEX(tblStellplatz[SAP],MATCH(PlanLayout!AI13,tblStellplatz[Stellplatz],0))="","leer",IF(LEFT(RIGHT(INDEX(tblStellplatz[SAP],MATCH(PlanLayout!AI13,tblStellplatz[Stellplatz],0)),4),1)="0",RIGHT(INDEX(tblStellplatz[SAP],MATCH(PlanLayout!AI13,tblStellplatz[Stellplatz],0)),5),RIGHT(INDEX(tblStellplatz[SAP],MATCH(PlanLayout!AI13,tblStellplatz[Stellplatz],0)),4))),"?"))</f>
        <v/>
      </c>
      <c r="AJ13" s="4">
        <f>IF(PlanLayout!AJ13="","",PlanLayout!AJ13&amp;CHAR(10)&amp;IFERROR(IF(INDEX(tblStellplatz[SAP],MATCH(PlanLayout!AJ13,tblStellplatz[Stellplatz],0))="","leer",IF(LEFT(RIGHT(INDEX(tblStellplatz[SAP],MATCH(PlanLayout!AJ13,tblStellplatz[Stellplatz],0)),4),1)="0",RIGHT(INDEX(tblStellplatz[SAP],MATCH(PlanLayout!AJ13,tblStellplatz[Stellplatz],0)),5),RIGHT(INDEX(tblStellplatz[SAP],MATCH(PlanLayout!AJ13,tblStellplatz[Stellplatz],0)),4))),"?"))</f>
        <v/>
      </c>
      <c r="AK13" s="4">
        <f>IF(PlanLayout!AK13="","",PlanLayout!AK13&amp;CHAR(10)&amp;IFERROR(IF(INDEX(tblStellplatz[SAP],MATCH(PlanLayout!AK13,tblStellplatz[Stellplatz],0))="","leer",IF(LEFT(RIGHT(INDEX(tblStellplatz[SAP],MATCH(PlanLayout!AK13,tblStellplatz[Stellplatz],0)),4),1)="0",RIGHT(INDEX(tblStellplatz[SAP],MATCH(PlanLayout!AK13,tblStellplatz[Stellplatz],0)),5),RIGHT(INDEX(tblStellplatz[SAP],MATCH(PlanLayout!AK13,tblStellplatz[Stellplatz],0)),4))),"?"))</f>
        <v/>
      </c>
      <c r="AL13" s="4">
        <f>IF(PlanLayout!AL13="","",PlanLayout!AL13&amp;CHAR(10)&amp;IFERROR(IF(INDEX(tblStellplatz[SAP],MATCH(PlanLayout!AL13,tblStellplatz[Stellplatz],0))="","leer",IF(LEFT(RIGHT(INDEX(tblStellplatz[SAP],MATCH(PlanLayout!AL13,tblStellplatz[Stellplatz],0)),4),1)="0",RIGHT(INDEX(tblStellplatz[SAP],MATCH(PlanLayout!AL13,tblStellplatz[Stellplatz],0)),5),RIGHT(INDEX(tblStellplatz[SAP],MATCH(PlanLayout!AL13,tblStellplatz[Stellplatz],0)),4))),"?"))</f>
        <v/>
      </c>
      <c r="AM13" s="4">
        <f>IF(PlanLayout!AM13="","",PlanLayout!AM13&amp;CHAR(10)&amp;IFERROR(IF(INDEX(tblStellplatz[SAP],MATCH(PlanLayout!AM13,tblStellplatz[Stellplatz],0))="","leer",IF(LEFT(RIGHT(INDEX(tblStellplatz[SAP],MATCH(PlanLayout!AM13,tblStellplatz[Stellplatz],0)),4),1)="0",RIGHT(INDEX(tblStellplatz[SAP],MATCH(PlanLayout!AM13,tblStellplatz[Stellplatz],0)),5),RIGHT(INDEX(tblStellplatz[SAP],MATCH(PlanLayout!AM13,tblStellplatz[Stellplatz],0)),4))),"?"))</f>
        <v/>
      </c>
      <c r="AN13" s="4">
        <f>IF(PlanLayout!AN13="","",PlanLayout!AN13&amp;CHAR(10)&amp;IFERROR(IF(INDEX(tblStellplatz[SAP],MATCH(PlanLayout!AN13,tblStellplatz[Stellplatz],0))="","leer",IF(LEFT(RIGHT(INDEX(tblStellplatz[SAP],MATCH(PlanLayout!AN13,tblStellplatz[Stellplatz],0)),4),1)="0",RIGHT(INDEX(tblStellplatz[SAP],MATCH(PlanLayout!AN13,tblStellplatz[Stellplatz],0)),5),RIGHT(INDEX(tblStellplatz[SAP],MATCH(PlanLayout!AN13,tblStellplatz[Stellplatz],0)),4))),"?"))</f>
        <v/>
      </c>
      <c r="AO13" s="4">
        <f>IF(PlanLayout!AO13="","",PlanLayout!AO13&amp;CHAR(10)&amp;IFERROR(IF(INDEX(tblStellplatz[SAP],MATCH(PlanLayout!AO13,tblStellplatz[Stellplatz],0))="","leer",IF(LEFT(RIGHT(INDEX(tblStellplatz[SAP],MATCH(PlanLayout!AO13,tblStellplatz[Stellplatz],0)),4),1)="0",RIGHT(INDEX(tblStellplatz[SAP],MATCH(PlanLayout!AO13,tblStellplatz[Stellplatz],0)),5),RIGHT(INDEX(tblStellplatz[SAP],MATCH(PlanLayout!AO13,tblStellplatz[Stellplatz],0)),4))),"?"))</f>
        <v/>
      </c>
    </row>
    <row r="14" ht="30" customHeight="1">
      <c r="B14" s="4">
        <f>IF(PlanLayout!B14="","",PlanLayout!B14&amp;CHAR(10)&amp;IFERROR(IF(INDEX(tblStellplatz[SAP],MATCH(PlanLayout!B14,tblStellplatz[Stellplatz],0))="","leer",IF(LEFT(RIGHT(INDEX(tblStellplatz[SAP],MATCH(PlanLayout!B14,tblStellplatz[Stellplatz],0)),4),1)="0",RIGHT(INDEX(tblStellplatz[SAP],MATCH(PlanLayout!B14,tblStellplatz[Stellplatz],0)),5),RIGHT(INDEX(tblStellplatz[SAP],MATCH(PlanLayout!B14,tblStellplatz[Stellplatz],0)),4))),"?"))</f>
        <v/>
      </c>
      <c r="C14" s="4">
        <f>IF(PlanLayout!C14="","",PlanLayout!C14&amp;CHAR(10)&amp;IFERROR(IF(INDEX(tblStellplatz[SAP],MATCH(PlanLayout!C14,tblStellplatz[Stellplatz],0))="","leer",IF(LEFT(RIGHT(INDEX(tblStellplatz[SAP],MATCH(PlanLayout!C14,tblStellplatz[Stellplatz],0)),4),1)="0",RIGHT(INDEX(tblStellplatz[SAP],MATCH(PlanLayout!C14,tblStellplatz[Stellplatz],0)),5),RIGHT(INDEX(tblStellplatz[SAP],MATCH(PlanLayout!C14,tblStellplatz[Stellplatz],0)),4))),"?"))</f>
        <v/>
      </c>
      <c r="D14" s="4">
        <f>IF(PlanLayout!D14="","",PlanLayout!D14&amp;CHAR(10)&amp;IFERROR(IF(INDEX(tblStellplatz[SAP],MATCH(PlanLayout!D14,tblStellplatz[Stellplatz],0))="","leer",IF(LEFT(RIGHT(INDEX(tblStellplatz[SAP],MATCH(PlanLayout!D14,tblStellplatz[Stellplatz],0)),4),1)="0",RIGHT(INDEX(tblStellplatz[SAP],MATCH(PlanLayout!D14,tblStellplatz[Stellplatz],0)),5),RIGHT(INDEX(tblStellplatz[SAP],MATCH(PlanLayout!D14,tblStellplatz[Stellplatz],0)),4))),"?"))</f>
        <v/>
      </c>
      <c r="E14" s="4">
        <f>IF(PlanLayout!E14="","",PlanLayout!E14&amp;CHAR(10)&amp;IFERROR(IF(INDEX(tblStellplatz[SAP],MATCH(PlanLayout!E14,tblStellplatz[Stellplatz],0))="","leer",IF(LEFT(RIGHT(INDEX(tblStellplatz[SAP],MATCH(PlanLayout!E14,tblStellplatz[Stellplatz],0)),4),1)="0",RIGHT(INDEX(tblStellplatz[SAP],MATCH(PlanLayout!E14,tblStellplatz[Stellplatz],0)),5),RIGHT(INDEX(tblStellplatz[SAP],MATCH(PlanLayout!E14,tblStellplatz[Stellplatz],0)),4))),"?"))</f>
        <v/>
      </c>
      <c r="F14" s="4">
        <f>IF(PlanLayout!F14="","",PlanLayout!F14&amp;CHAR(10)&amp;IFERROR(IF(INDEX(tblStellplatz[SAP],MATCH(PlanLayout!F14,tblStellplatz[Stellplatz],0))="","leer",IF(LEFT(RIGHT(INDEX(tblStellplatz[SAP],MATCH(PlanLayout!F14,tblStellplatz[Stellplatz],0)),4),1)="0",RIGHT(INDEX(tblStellplatz[SAP],MATCH(PlanLayout!F14,tblStellplatz[Stellplatz],0)),5),RIGHT(INDEX(tblStellplatz[SAP],MATCH(PlanLayout!F14,tblStellplatz[Stellplatz],0)),4))),"?"))</f>
        <v/>
      </c>
      <c r="G14" s="4">
        <f>IF(PlanLayout!G14="","",PlanLayout!G14&amp;CHAR(10)&amp;IFERROR(IF(INDEX(tblStellplatz[SAP],MATCH(PlanLayout!G14,tblStellplatz[Stellplatz],0))="","leer",IF(LEFT(RIGHT(INDEX(tblStellplatz[SAP],MATCH(PlanLayout!G14,tblStellplatz[Stellplatz],0)),4),1)="0",RIGHT(INDEX(tblStellplatz[SAP],MATCH(PlanLayout!G14,tblStellplatz[Stellplatz],0)),5),RIGHT(INDEX(tblStellplatz[SAP],MATCH(PlanLayout!G14,tblStellplatz[Stellplatz],0)),4))),"?"))</f>
        <v/>
      </c>
      <c r="H14" s="4">
        <f>IF(PlanLayout!H14="","",PlanLayout!H14&amp;CHAR(10)&amp;IFERROR(IF(INDEX(tblStellplatz[SAP],MATCH(PlanLayout!H14,tblStellplatz[Stellplatz],0))="","leer",IF(LEFT(RIGHT(INDEX(tblStellplatz[SAP],MATCH(PlanLayout!H14,tblStellplatz[Stellplatz],0)),4),1)="0",RIGHT(INDEX(tblStellplatz[SAP],MATCH(PlanLayout!H14,tblStellplatz[Stellplatz],0)),5),RIGHT(INDEX(tblStellplatz[SAP],MATCH(PlanLayout!H14,tblStellplatz[Stellplatz],0)),4))),"?"))</f>
        <v/>
      </c>
      <c r="I14" s="4">
        <f>IF(PlanLayout!I14="","",PlanLayout!I14&amp;CHAR(10)&amp;IFERROR(IF(INDEX(tblStellplatz[SAP],MATCH(PlanLayout!I14,tblStellplatz[Stellplatz],0))="","leer",IF(LEFT(RIGHT(INDEX(tblStellplatz[SAP],MATCH(PlanLayout!I14,tblStellplatz[Stellplatz],0)),4),1)="0",RIGHT(INDEX(tblStellplatz[SAP],MATCH(PlanLayout!I14,tblStellplatz[Stellplatz],0)),5),RIGHT(INDEX(tblStellplatz[SAP],MATCH(PlanLayout!I14,tblStellplatz[Stellplatz],0)),4))),"?"))</f>
        <v/>
      </c>
      <c r="J14" s="4">
        <f>IF(PlanLayout!J14="","",PlanLayout!J14&amp;CHAR(10)&amp;IFERROR(IF(INDEX(tblStellplatz[SAP],MATCH(PlanLayout!J14,tblStellplatz[Stellplatz],0))="","leer",IF(LEFT(RIGHT(INDEX(tblStellplatz[SAP],MATCH(PlanLayout!J14,tblStellplatz[Stellplatz],0)),4),1)="0",RIGHT(INDEX(tblStellplatz[SAP],MATCH(PlanLayout!J14,tblStellplatz[Stellplatz],0)),5),RIGHT(INDEX(tblStellplatz[SAP],MATCH(PlanLayout!J14,tblStellplatz[Stellplatz],0)),4))),"?"))</f>
        <v/>
      </c>
      <c r="K14" s="4">
        <f>IF(PlanLayout!K14="","",PlanLayout!K14&amp;CHAR(10)&amp;IFERROR(IF(INDEX(tblStellplatz[SAP],MATCH(PlanLayout!K14,tblStellplatz[Stellplatz],0))="","leer",IF(LEFT(RIGHT(INDEX(tblStellplatz[SAP],MATCH(PlanLayout!K14,tblStellplatz[Stellplatz],0)),4),1)="0",RIGHT(INDEX(tblStellplatz[SAP],MATCH(PlanLayout!K14,tblStellplatz[Stellplatz],0)),5),RIGHT(INDEX(tblStellplatz[SAP],MATCH(PlanLayout!K14,tblStellplatz[Stellplatz],0)),4))),"?"))</f>
        <v/>
      </c>
      <c r="L14" s="4">
        <f>IF(PlanLayout!L14="","",PlanLayout!L14&amp;CHAR(10)&amp;IFERROR(IF(INDEX(tblStellplatz[SAP],MATCH(PlanLayout!L14,tblStellplatz[Stellplatz],0))="","leer",IF(LEFT(RIGHT(INDEX(tblStellplatz[SAP],MATCH(PlanLayout!L14,tblStellplatz[Stellplatz],0)),4),1)="0",RIGHT(INDEX(tblStellplatz[SAP],MATCH(PlanLayout!L14,tblStellplatz[Stellplatz],0)),5),RIGHT(INDEX(tblStellplatz[SAP],MATCH(PlanLayout!L14,tblStellplatz[Stellplatz],0)),4))),"?"))</f>
        <v/>
      </c>
      <c r="M14" s="4">
        <f>IF(PlanLayout!M14="","",PlanLayout!M14&amp;CHAR(10)&amp;IFERROR(IF(INDEX(tblStellplatz[SAP],MATCH(PlanLayout!M14,tblStellplatz[Stellplatz],0))="","leer",IF(LEFT(RIGHT(INDEX(tblStellplatz[SAP],MATCH(PlanLayout!M14,tblStellplatz[Stellplatz],0)),4),1)="0",RIGHT(INDEX(tblStellplatz[SAP],MATCH(PlanLayout!M14,tblStellplatz[Stellplatz],0)),5),RIGHT(INDEX(tblStellplatz[SAP],MATCH(PlanLayout!M14,tblStellplatz[Stellplatz],0)),4))),"?"))</f>
        <v/>
      </c>
      <c r="N14" s="4">
        <f>IF(PlanLayout!N14="","",PlanLayout!N14&amp;CHAR(10)&amp;IFERROR(IF(INDEX(tblStellplatz[SAP],MATCH(PlanLayout!N14,tblStellplatz[Stellplatz],0))="","leer",IF(LEFT(RIGHT(INDEX(tblStellplatz[SAP],MATCH(PlanLayout!N14,tblStellplatz[Stellplatz],0)),4),1)="0",RIGHT(INDEX(tblStellplatz[SAP],MATCH(PlanLayout!N14,tblStellplatz[Stellplatz],0)),5),RIGHT(INDEX(tblStellplatz[SAP],MATCH(PlanLayout!N14,tblStellplatz[Stellplatz],0)),4))),"?"))</f>
        <v/>
      </c>
      <c r="O14" s="4">
        <f>IF(PlanLayout!O14="","",PlanLayout!O14&amp;CHAR(10)&amp;IFERROR(IF(INDEX(tblStellplatz[SAP],MATCH(PlanLayout!O14,tblStellplatz[Stellplatz],0))="","leer",IF(LEFT(RIGHT(INDEX(tblStellplatz[SAP],MATCH(PlanLayout!O14,tblStellplatz[Stellplatz],0)),4),1)="0",RIGHT(INDEX(tblStellplatz[SAP],MATCH(PlanLayout!O14,tblStellplatz[Stellplatz],0)),5),RIGHT(INDEX(tblStellplatz[SAP],MATCH(PlanLayout!O14,tblStellplatz[Stellplatz],0)),4))),"?"))</f>
        <v/>
      </c>
      <c r="P14" s="4">
        <f>IF(PlanLayout!P14="","",PlanLayout!P14&amp;CHAR(10)&amp;IFERROR(IF(INDEX(tblStellplatz[SAP],MATCH(PlanLayout!P14,tblStellplatz[Stellplatz],0))="","leer",IF(LEFT(RIGHT(INDEX(tblStellplatz[SAP],MATCH(PlanLayout!P14,tblStellplatz[Stellplatz],0)),4),1)="0",RIGHT(INDEX(tblStellplatz[SAP],MATCH(PlanLayout!P14,tblStellplatz[Stellplatz],0)),5),RIGHT(INDEX(tblStellplatz[SAP],MATCH(PlanLayout!P14,tblStellplatz[Stellplatz],0)),4))),"?"))</f>
        <v/>
      </c>
      <c r="Q14" s="4">
        <f>IF(PlanLayout!Q14="","",PlanLayout!Q14&amp;CHAR(10)&amp;IFERROR(IF(INDEX(tblStellplatz[SAP],MATCH(PlanLayout!Q14,tblStellplatz[Stellplatz],0))="","leer",IF(LEFT(RIGHT(INDEX(tblStellplatz[SAP],MATCH(PlanLayout!Q14,tblStellplatz[Stellplatz],0)),4),1)="0",RIGHT(INDEX(tblStellplatz[SAP],MATCH(PlanLayout!Q14,tblStellplatz[Stellplatz],0)),5),RIGHT(INDEX(tblStellplatz[SAP],MATCH(PlanLayout!Q14,tblStellplatz[Stellplatz],0)),4))),"?"))</f>
        <v/>
      </c>
      <c r="R14" s="4">
        <f>IF(PlanLayout!R14="","",PlanLayout!R14&amp;CHAR(10)&amp;IFERROR(IF(INDEX(tblStellplatz[SAP],MATCH(PlanLayout!R14,tblStellplatz[Stellplatz],0))="","leer",IF(LEFT(RIGHT(INDEX(tblStellplatz[SAP],MATCH(PlanLayout!R14,tblStellplatz[Stellplatz],0)),4),1)="0",RIGHT(INDEX(tblStellplatz[SAP],MATCH(PlanLayout!R14,tblStellplatz[Stellplatz],0)),5),RIGHT(INDEX(tblStellplatz[SAP],MATCH(PlanLayout!R14,tblStellplatz[Stellplatz],0)),4))),"?"))</f>
        <v/>
      </c>
      <c r="S14" s="4">
        <f>IF(PlanLayout!S14="","",PlanLayout!S14&amp;CHAR(10)&amp;IFERROR(IF(INDEX(tblStellplatz[SAP],MATCH(PlanLayout!S14,tblStellplatz[Stellplatz],0))="","leer",IF(LEFT(RIGHT(INDEX(tblStellplatz[SAP],MATCH(PlanLayout!S14,tblStellplatz[Stellplatz],0)),4),1)="0",RIGHT(INDEX(tblStellplatz[SAP],MATCH(PlanLayout!S14,tblStellplatz[Stellplatz],0)),5),RIGHT(INDEX(tblStellplatz[SAP],MATCH(PlanLayout!S14,tblStellplatz[Stellplatz],0)),4))),"?"))</f>
        <v/>
      </c>
      <c r="T14" s="4">
        <f>IF(PlanLayout!T14="","",PlanLayout!T14&amp;CHAR(10)&amp;IFERROR(IF(INDEX(tblStellplatz[SAP],MATCH(PlanLayout!T14,tblStellplatz[Stellplatz],0))="","leer",IF(LEFT(RIGHT(INDEX(tblStellplatz[SAP],MATCH(PlanLayout!T14,tblStellplatz[Stellplatz],0)),4),1)="0",RIGHT(INDEX(tblStellplatz[SAP],MATCH(PlanLayout!T14,tblStellplatz[Stellplatz],0)),5),RIGHT(INDEX(tblStellplatz[SAP],MATCH(PlanLayout!T14,tblStellplatz[Stellplatz],0)),4))),"?"))</f>
        <v/>
      </c>
      <c r="U14" s="4">
        <f>IF(PlanLayout!U14="","",PlanLayout!U14&amp;CHAR(10)&amp;IFERROR(IF(INDEX(tblStellplatz[SAP],MATCH(PlanLayout!U14,tblStellplatz[Stellplatz],0))="","leer",IF(LEFT(RIGHT(INDEX(tblStellplatz[SAP],MATCH(PlanLayout!U14,tblStellplatz[Stellplatz],0)),4),1)="0",RIGHT(INDEX(tblStellplatz[SAP],MATCH(PlanLayout!U14,tblStellplatz[Stellplatz],0)),5),RIGHT(INDEX(tblStellplatz[SAP],MATCH(PlanLayout!U14,tblStellplatz[Stellplatz],0)),4))),"?"))</f>
        <v/>
      </c>
      <c r="V14" s="4">
        <f>IF(PlanLayout!V14="","",PlanLayout!V14&amp;CHAR(10)&amp;IFERROR(IF(INDEX(tblStellplatz[SAP],MATCH(PlanLayout!V14,tblStellplatz[Stellplatz],0))="","leer",IF(LEFT(RIGHT(INDEX(tblStellplatz[SAP],MATCH(PlanLayout!V14,tblStellplatz[Stellplatz],0)),4),1)="0",RIGHT(INDEX(tblStellplatz[SAP],MATCH(PlanLayout!V14,tblStellplatz[Stellplatz],0)),5),RIGHT(INDEX(tblStellplatz[SAP],MATCH(PlanLayout!V14,tblStellplatz[Stellplatz],0)),4))),"?"))</f>
        <v/>
      </c>
      <c r="W14" s="4">
        <f>IF(PlanLayout!W14="","",PlanLayout!W14&amp;CHAR(10)&amp;IFERROR(IF(INDEX(tblStellplatz[SAP],MATCH(PlanLayout!W14,tblStellplatz[Stellplatz],0))="","leer",IF(LEFT(RIGHT(INDEX(tblStellplatz[SAP],MATCH(PlanLayout!W14,tblStellplatz[Stellplatz],0)),4),1)="0",RIGHT(INDEX(tblStellplatz[SAP],MATCH(PlanLayout!W14,tblStellplatz[Stellplatz],0)),5),RIGHT(INDEX(tblStellplatz[SAP],MATCH(PlanLayout!W14,tblStellplatz[Stellplatz],0)),4))),"?"))</f>
        <v/>
      </c>
      <c r="X14" s="4">
        <f>IF(PlanLayout!X14="","",PlanLayout!X14&amp;CHAR(10)&amp;IFERROR(IF(INDEX(tblStellplatz[SAP],MATCH(PlanLayout!X14,tblStellplatz[Stellplatz],0))="","leer",IF(LEFT(RIGHT(INDEX(tblStellplatz[SAP],MATCH(PlanLayout!X14,tblStellplatz[Stellplatz],0)),4),1)="0",RIGHT(INDEX(tblStellplatz[SAP],MATCH(PlanLayout!X14,tblStellplatz[Stellplatz],0)),5),RIGHT(INDEX(tblStellplatz[SAP],MATCH(PlanLayout!X14,tblStellplatz[Stellplatz],0)),4))),"?"))</f>
        <v/>
      </c>
      <c r="Y14" s="4">
        <f>IF(PlanLayout!Y14="","",PlanLayout!Y14&amp;CHAR(10)&amp;IFERROR(IF(INDEX(tblStellplatz[SAP],MATCH(PlanLayout!Y14,tblStellplatz[Stellplatz],0))="","leer",IF(LEFT(RIGHT(INDEX(tblStellplatz[SAP],MATCH(PlanLayout!Y14,tblStellplatz[Stellplatz],0)),4),1)="0",RIGHT(INDEX(tblStellplatz[SAP],MATCH(PlanLayout!Y14,tblStellplatz[Stellplatz],0)),5),RIGHT(INDEX(tblStellplatz[SAP],MATCH(PlanLayout!Y14,tblStellplatz[Stellplatz],0)),4))),"?"))</f>
        <v/>
      </c>
      <c r="Z14" s="4">
        <f>IF(PlanLayout!Z14="","",PlanLayout!Z14&amp;CHAR(10)&amp;IFERROR(IF(INDEX(tblStellplatz[SAP],MATCH(PlanLayout!Z14,tblStellplatz[Stellplatz],0))="","leer",IF(LEFT(RIGHT(INDEX(tblStellplatz[SAP],MATCH(PlanLayout!Z14,tblStellplatz[Stellplatz],0)),4),1)="0",RIGHT(INDEX(tblStellplatz[SAP],MATCH(PlanLayout!Z14,tblStellplatz[Stellplatz],0)),5),RIGHT(INDEX(tblStellplatz[SAP],MATCH(PlanLayout!Z14,tblStellplatz[Stellplatz],0)),4))),"?"))</f>
        <v/>
      </c>
      <c r="AA14" s="4">
        <f>IF(PlanLayout!AA14="","",PlanLayout!AA14&amp;CHAR(10)&amp;IFERROR(IF(INDEX(tblStellplatz[SAP],MATCH(PlanLayout!AA14,tblStellplatz[Stellplatz],0))="","leer",IF(LEFT(RIGHT(INDEX(tblStellplatz[SAP],MATCH(PlanLayout!AA14,tblStellplatz[Stellplatz],0)),4),1)="0",RIGHT(INDEX(tblStellplatz[SAP],MATCH(PlanLayout!AA14,tblStellplatz[Stellplatz],0)),5),RIGHT(INDEX(tblStellplatz[SAP],MATCH(PlanLayout!AA14,tblStellplatz[Stellplatz],0)),4))),"?"))</f>
        <v/>
      </c>
      <c r="AB14" s="4">
        <f>IF(PlanLayout!AB14="","",PlanLayout!AB14&amp;CHAR(10)&amp;IFERROR(IF(INDEX(tblStellplatz[SAP],MATCH(PlanLayout!AB14,tblStellplatz[Stellplatz],0))="","leer",IF(LEFT(RIGHT(INDEX(tblStellplatz[SAP],MATCH(PlanLayout!AB14,tblStellplatz[Stellplatz],0)),4),1)="0",RIGHT(INDEX(tblStellplatz[SAP],MATCH(PlanLayout!AB14,tblStellplatz[Stellplatz],0)),5),RIGHT(INDEX(tblStellplatz[SAP],MATCH(PlanLayout!AB14,tblStellplatz[Stellplatz],0)),4))),"?"))</f>
        <v/>
      </c>
      <c r="AC14" s="4">
        <f>IF(PlanLayout!AC14="","",PlanLayout!AC14&amp;CHAR(10)&amp;IFERROR(IF(INDEX(tblStellplatz[SAP],MATCH(PlanLayout!AC14,tblStellplatz[Stellplatz],0))="","leer",IF(LEFT(RIGHT(INDEX(tblStellplatz[SAP],MATCH(PlanLayout!AC14,tblStellplatz[Stellplatz],0)),4),1)="0",RIGHT(INDEX(tblStellplatz[SAP],MATCH(PlanLayout!AC14,tblStellplatz[Stellplatz],0)),5),RIGHT(INDEX(tblStellplatz[SAP],MATCH(PlanLayout!AC14,tblStellplatz[Stellplatz],0)),4))),"?"))</f>
        <v/>
      </c>
      <c r="AD14" s="4">
        <f>IF(PlanLayout!AD14="","",PlanLayout!AD14&amp;CHAR(10)&amp;IFERROR(IF(INDEX(tblStellplatz[SAP],MATCH(PlanLayout!AD14,tblStellplatz[Stellplatz],0))="","leer",IF(LEFT(RIGHT(INDEX(tblStellplatz[SAP],MATCH(PlanLayout!AD14,tblStellplatz[Stellplatz],0)),4),1)="0",RIGHT(INDEX(tblStellplatz[SAP],MATCH(PlanLayout!AD14,tblStellplatz[Stellplatz],0)),5),RIGHT(INDEX(tblStellplatz[SAP],MATCH(PlanLayout!AD14,tblStellplatz[Stellplatz],0)),4))),"?"))</f>
        <v/>
      </c>
      <c r="AE14" s="4">
        <f>IF(PlanLayout!AE14="","",PlanLayout!AE14&amp;CHAR(10)&amp;IFERROR(IF(INDEX(tblStellplatz[SAP],MATCH(PlanLayout!AE14,tblStellplatz[Stellplatz],0))="","leer",IF(LEFT(RIGHT(INDEX(tblStellplatz[SAP],MATCH(PlanLayout!AE14,tblStellplatz[Stellplatz],0)),4),1)="0",RIGHT(INDEX(tblStellplatz[SAP],MATCH(PlanLayout!AE14,tblStellplatz[Stellplatz],0)),5),RIGHT(INDEX(tblStellplatz[SAP],MATCH(PlanLayout!AE14,tblStellplatz[Stellplatz],0)),4))),"?"))</f>
        <v/>
      </c>
      <c r="AF14" s="4">
        <f>IF(PlanLayout!AF14="","",PlanLayout!AF14&amp;CHAR(10)&amp;IFERROR(IF(INDEX(tblStellplatz[SAP],MATCH(PlanLayout!AF14,tblStellplatz[Stellplatz],0))="","leer",IF(LEFT(RIGHT(INDEX(tblStellplatz[SAP],MATCH(PlanLayout!AF14,tblStellplatz[Stellplatz],0)),4),1)="0",RIGHT(INDEX(tblStellplatz[SAP],MATCH(PlanLayout!AF14,tblStellplatz[Stellplatz],0)),5),RIGHT(INDEX(tblStellplatz[SAP],MATCH(PlanLayout!AF14,tblStellplatz[Stellplatz],0)),4))),"?"))</f>
        <v/>
      </c>
      <c r="AG14" s="4">
        <f>IF(PlanLayout!AG14="","",PlanLayout!AG14&amp;CHAR(10)&amp;IFERROR(IF(INDEX(tblStellplatz[SAP],MATCH(PlanLayout!AG14,tblStellplatz[Stellplatz],0))="","leer",IF(LEFT(RIGHT(INDEX(tblStellplatz[SAP],MATCH(PlanLayout!AG14,tblStellplatz[Stellplatz],0)),4),1)="0",RIGHT(INDEX(tblStellplatz[SAP],MATCH(PlanLayout!AG14,tblStellplatz[Stellplatz],0)),5),RIGHT(INDEX(tblStellplatz[SAP],MATCH(PlanLayout!AG14,tblStellplatz[Stellplatz],0)),4))),"?"))</f>
        <v/>
      </c>
      <c r="AH14" s="4">
        <f>IF(PlanLayout!AH14="","",PlanLayout!AH14&amp;CHAR(10)&amp;IFERROR(IF(INDEX(tblStellplatz[SAP],MATCH(PlanLayout!AH14,tblStellplatz[Stellplatz],0))="","leer",IF(LEFT(RIGHT(INDEX(tblStellplatz[SAP],MATCH(PlanLayout!AH14,tblStellplatz[Stellplatz],0)),4),1)="0",RIGHT(INDEX(tblStellplatz[SAP],MATCH(PlanLayout!AH14,tblStellplatz[Stellplatz],0)),5),RIGHT(INDEX(tblStellplatz[SAP],MATCH(PlanLayout!AH14,tblStellplatz[Stellplatz],0)),4))),"?"))</f>
        <v/>
      </c>
      <c r="AI14" s="4">
        <f>IF(PlanLayout!AI14="","",PlanLayout!AI14&amp;CHAR(10)&amp;IFERROR(IF(INDEX(tblStellplatz[SAP],MATCH(PlanLayout!AI14,tblStellplatz[Stellplatz],0))="","leer",IF(LEFT(RIGHT(INDEX(tblStellplatz[SAP],MATCH(PlanLayout!AI14,tblStellplatz[Stellplatz],0)),4),1)="0",RIGHT(INDEX(tblStellplatz[SAP],MATCH(PlanLayout!AI14,tblStellplatz[Stellplatz],0)),5),RIGHT(INDEX(tblStellplatz[SAP],MATCH(PlanLayout!AI14,tblStellplatz[Stellplatz],0)),4))),"?"))</f>
        <v/>
      </c>
      <c r="AJ14" s="4">
        <f>IF(PlanLayout!AJ14="","",PlanLayout!AJ14&amp;CHAR(10)&amp;IFERROR(IF(INDEX(tblStellplatz[SAP],MATCH(PlanLayout!AJ14,tblStellplatz[Stellplatz],0))="","leer",IF(LEFT(RIGHT(INDEX(tblStellplatz[SAP],MATCH(PlanLayout!AJ14,tblStellplatz[Stellplatz],0)),4),1)="0",RIGHT(INDEX(tblStellplatz[SAP],MATCH(PlanLayout!AJ14,tblStellplatz[Stellplatz],0)),5),RIGHT(INDEX(tblStellplatz[SAP],MATCH(PlanLayout!AJ14,tblStellplatz[Stellplatz],0)),4))),"?"))</f>
        <v/>
      </c>
      <c r="AK14" s="4">
        <f>IF(PlanLayout!AK14="","",PlanLayout!AK14&amp;CHAR(10)&amp;IFERROR(IF(INDEX(tblStellplatz[SAP],MATCH(PlanLayout!AK14,tblStellplatz[Stellplatz],0))="","leer",IF(LEFT(RIGHT(INDEX(tblStellplatz[SAP],MATCH(PlanLayout!AK14,tblStellplatz[Stellplatz],0)),4),1)="0",RIGHT(INDEX(tblStellplatz[SAP],MATCH(PlanLayout!AK14,tblStellplatz[Stellplatz],0)),5),RIGHT(INDEX(tblStellplatz[SAP],MATCH(PlanLayout!AK14,tblStellplatz[Stellplatz],0)),4))),"?"))</f>
        <v/>
      </c>
      <c r="AL14" s="4">
        <f>IF(PlanLayout!AL14="","",PlanLayout!AL14&amp;CHAR(10)&amp;IFERROR(IF(INDEX(tblStellplatz[SAP],MATCH(PlanLayout!AL14,tblStellplatz[Stellplatz],0))="","leer",IF(LEFT(RIGHT(INDEX(tblStellplatz[SAP],MATCH(PlanLayout!AL14,tblStellplatz[Stellplatz],0)),4),1)="0",RIGHT(INDEX(tblStellplatz[SAP],MATCH(PlanLayout!AL14,tblStellplatz[Stellplatz],0)),5),RIGHT(INDEX(tblStellplatz[SAP],MATCH(PlanLayout!AL14,tblStellplatz[Stellplatz],0)),4))),"?"))</f>
        <v/>
      </c>
      <c r="AM14" s="4">
        <f>IF(PlanLayout!AM14="","",PlanLayout!AM14&amp;CHAR(10)&amp;IFERROR(IF(INDEX(tblStellplatz[SAP],MATCH(PlanLayout!AM14,tblStellplatz[Stellplatz],0))="","leer",IF(LEFT(RIGHT(INDEX(tblStellplatz[SAP],MATCH(PlanLayout!AM14,tblStellplatz[Stellplatz],0)),4),1)="0",RIGHT(INDEX(tblStellplatz[SAP],MATCH(PlanLayout!AM14,tblStellplatz[Stellplatz],0)),5),RIGHT(INDEX(tblStellplatz[SAP],MATCH(PlanLayout!AM14,tblStellplatz[Stellplatz],0)),4))),"?"))</f>
        <v/>
      </c>
      <c r="AN14" s="4">
        <f>IF(PlanLayout!AN14="","",PlanLayout!AN14&amp;CHAR(10)&amp;IFERROR(IF(INDEX(tblStellplatz[SAP],MATCH(PlanLayout!AN14,tblStellplatz[Stellplatz],0))="","leer",IF(LEFT(RIGHT(INDEX(tblStellplatz[SAP],MATCH(PlanLayout!AN14,tblStellplatz[Stellplatz],0)),4),1)="0",RIGHT(INDEX(tblStellplatz[SAP],MATCH(PlanLayout!AN14,tblStellplatz[Stellplatz],0)),5),RIGHT(INDEX(tblStellplatz[SAP],MATCH(PlanLayout!AN14,tblStellplatz[Stellplatz],0)),4))),"?"))</f>
        <v/>
      </c>
      <c r="AO14" s="4">
        <f>IF(PlanLayout!AO14="","",PlanLayout!AO14&amp;CHAR(10)&amp;IFERROR(IF(INDEX(tblStellplatz[SAP],MATCH(PlanLayout!AO14,tblStellplatz[Stellplatz],0))="","leer",IF(LEFT(RIGHT(INDEX(tblStellplatz[SAP],MATCH(PlanLayout!AO14,tblStellplatz[Stellplatz],0)),4),1)="0",RIGHT(INDEX(tblStellplatz[SAP],MATCH(PlanLayout!AO14,tblStellplatz[Stellplatz],0)),5),RIGHT(INDEX(tblStellplatz[SAP],MATCH(PlanLayout!AO14,tblStellplatz[Stellplatz],0)),4))),"?"))</f>
        <v/>
      </c>
    </row>
    <row r="15" ht="30" customHeight="1">
      <c r="B15" s="4">
        <f>IF(PlanLayout!B15="","",PlanLayout!B15&amp;CHAR(10)&amp;IFERROR(IF(INDEX(tblStellplatz[SAP],MATCH(PlanLayout!B15,tblStellplatz[Stellplatz],0))="","leer",IF(LEFT(RIGHT(INDEX(tblStellplatz[SAP],MATCH(PlanLayout!B15,tblStellplatz[Stellplatz],0)),4),1)="0",RIGHT(INDEX(tblStellplatz[SAP],MATCH(PlanLayout!B15,tblStellplatz[Stellplatz],0)),5),RIGHT(INDEX(tblStellplatz[SAP],MATCH(PlanLayout!B15,tblStellplatz[Stellplatz],0)),4))),"?"))</f>
        <v/>
      </c>
      <c r="C15" s="4">
        <f>IF(PlanLayout!C15="","",PlanLayout!C15&amp;CHAR(10)&amp;IFERROR(IF(INDEX(tblStellplatz[SAP],MATCH(PlanLayout!C15,tblStellplatz[Stellplatz],0))="","leer",IF(LEFT(RIGHT(INDEX(tblStellplatz[SAP],MATCH(PlanLayout!C15,tblStellplatz[Stellplatz],0)),4),1)="0",RIGHT(INDEX(tblStellplatz[SAP],MATCH(PlanLayout!C15,tblStellplatz[Stellplatz],0)),5),RIGHT(INDEX(tblStellplatz[SAP],MATCH(PlanLayout!C15,tblStellplatz[Stellplatz],0)),4))),"?"))</f>
        <v/>
      </c>
      <c r="D15" s="4">
        <f>IF(PlanLayout!D15="","",PlanLayout!D15&amp;CHAR(10)&amp;IFERROR(IF(INDEX(tblStellplatz[SAP],MATCH(PlanLayout!D15,tblStellplatz[Stellplatz],0))="","leer",IF(LEFT(RIGHT(INDEX(tblStellplatz[SAP],MATCH(PlanLayout!D15,tblStellplatz[Stellplatz],0)),4),1)="0",RIGHT(INDEX(tblStellplatz[SAP],MATCH(PlanLayout!D15,tblStellplatz[Stellplatz],0)),5),RIGHT(INDEX(tblStellplatz[SAP],MATCH(PlanLayout!D15,tblStellplatz[Stellplatz],0)),4))),"?"))</f>
        <v/>
      </c>
      <c r="E15" s="4">
        <f>IF(PlanLayout!E15="","",PlanLayout!E15&amp;CHAR(10)&amp;IFERROR(IF(INDEX(tblStellplatz[SAP],MATCH(PlanLayout!E15,tblStellplatz[Stellplatz],0))="","leer",IF(LEFT(RIGHT(INDEX(tblStellplatz[SAP],MATCH(PlanLayout!E15,tblStellplatz[Stellplatz],0)),4),1)="0",RIGHT(INDEX(tblStellplatz[SAP],MATCH(PlanLayout!E15,tblStellplatz[Stellplatz],0)),5),RIGHT(INDEX(tblStellplatz[SAP],MATCH(PlanLayout!E15,tblStellplatz[Stellplatz],0)),4))),"?"))</f>
        <v/>
      </c>
      <c r="F15" s="4">
        <f>IF(PlanLayout!F15="","",PlanLayout!F15&amp;CHAR(10)&amp;IFERROR(IF(INDEX(tblStellplatz[SAP],MATCH(PlanLayout!F15,tblStellplatz[Stellplatz],0))="","leer",IF(LEFT(RIGHT(INDEX(tblStellplatz[SAP],MATCH(PlanLayout!F15,tblStellplatz[Stellplatz],0)),4),1)="0",RIGHT(INDEX(tblStellplatz[SAP],MATCH(PlanLayout!F15,tblStellplatz[Stellplatz],0)),5),RIGHT(INDEX(tblStellplatz[SAP],MATCH(PlanLayout!F15,tblStellplatz[Stellplatz],0)),4))),"?"))</f>
        <v/>
      </c>
      <c r="G15" s="4">
        <f>IF(PlanLayout!G15="","",PlanLayout!G15&amp;CHAR(10)&amp;IFERROR(IF(INDEX(tblStellplatz[SAP],MATCH(PlanLayout!G15,tblStellplatz[Stellplatz],0))="","leer",IF(LEFT(RIGHT(INDEX(tblStellplatz[SAP],MATCH(PlanLayout!G15,tblStellplatz[Stellplatz],0)),4),1)="0",RIGHT(INDEX(tblStellplatz[SAP],MATCH(PlanLayout!G15,tblStellplatz[Stellplatz],0)),5),RIGHT(INDEX(tblStellplatz[SAP],MATCH(PlanLayout!G15,tblStellplatz[Stellplatz],0)),4))),"?"))</f>
        <v/>
      </c>
      <c r="H15" s="4">
        <f>IF(PlanLayout!H15="","",PlanLayout!H15&amp;CHAR(10)&amp;IFERROR(IF(INDEX(tblStellplatz[SAP],MATCH(PlanLayout!H15,tblStellplatz[Stellplatz],0))="","leer",IF(LEFT(RIGHT(INDEX(tblStellplatz[SAP],MATCH(PlanLayout!H15,tblStellplatz[Stellplatz],0)),4),1)="0",RIGHT(INDEX(tblStellplatz[SAP],MATCH(PlanLayout!H15,tblStellplatz[Stellplatz],0)),5),RIGHT(INDEX(tblStellplatz[SAP],MATCH(PlanLayout!H15,tblStellplatz[Stellplatz],0)),4))),"?"))</f>
        <v/>
      </c>
      <c r="I15" s="4">
        <f>IF(PlanLayout!I15="","",PlanLayout!I15&amp;CHAR(10)&amp;IFERROR(IF(INDEX(tblStellplatz[SAP],MATCH(PlanLayout!I15,tblStellplatz[Stellplatz],0))="","leer",IF(LEFT(RIGHT(INDEX(tblStellplatz[SAP],MATCH(PlanLayout!I15,tblStellplatz[Stellplatz],0)),4),1)="0",RIGHT(INDEX(tblStellplatz[SAP],MATCH(PlanLayout!I15,tblStellplatz[Stellplatz],0)),5),RIGHT(INDEX(tblStellplatz[SAP],MATCH(PlanLayout!I15,tblStellplatz[Stellplatz],0)),4))),"?"))</f>
        <v/>
      </c>
      <c r="J15" s="4">
        <f>IF(PlanLayout!J15="","",PlanLayout!J15&amp;CHAR(10)&amp;IFERROR(IF(INDEX(tblStellplatz[SAP],MATCH(PlanLayout!J15,tblStellplatz[Stellplatz],0))="","leer",IF(LEFT(RIGHT(INDEX(tblStellplatz[SAP],MATCH(PlanLayout!J15,tblStellplatz[Stellplatz],0)),4),1)="0",RIGHT(INDEX(tblStellplatz[SAP],MATCH(PlanLayout!J15,tblStellplatz[Stellplatz],0)),5),RIGHT(INDEX(tblStellplatz[SAP],MATCH(PlanLayout!J15,tblStellplatz[Stellplatz],0)),4))),"?"))</f>
        <v/>
      </c>
      <c r="K15" s="4">
        <f>IF(PlanLayout!K15="","",PlanLayout!K15&amp;CHAR(10)&amp;IFERROR(IF(INDEX(tblStellplatz[SAP],MATCH(PlanLayout!K15,tblStellplatz[Stellplatz],0))="","leer",IF(LEFT(RIGHT(INDEX(tblStellplatz[SAP],MATCH(PlanLayout!K15,tblStellplatz[Stellplatz],0)),4),1)="0",RIGHT(INDEX(tblStellplatz[SAP],MATCH(PlanLayout!K15,tblStellplatz[Stellplatz],0)),5),RIGHT(INDEX(tblStellplatz[SAP],MATCH(PlanLayout!K15,tblStellplatz[Stellplatz],0)),4))),"?"))</f>
        <v/>
      </c>
      <c r="L15" s="4">
        <f>IF(PlanLayout!L15="","",PlanLayout!L15&amp;CHAR(10)&amp;IFERROR(IF(INDEX(tblStellplatz[SAP],MATCH(PlanLayout!L15,tblStellplatz[Stellplatz],0))="","leer",IF(LEFT(RIGHT(INDEX(tblStellplatz[SAP],MATCH(PlanLayout!L15,tblStellplatz[Stellplatz],0)),4),1)="0",RIGHT(INDEX(tblStellplatz[SAP],MATCH(PlanLayout!L15,tblStellplatz[Stellplatz],0)),5),RIGHT(INDEX(tblStellplatz[SAP],MATCH(PlanLayout!L15,tblStellplatz[Stellplatz],0)),4))),"?"))</f>
        <v/>
      </c>
      <c r="M15" s="4">
        <f>IF(PlanLayout!M15="","",PlanLayout!M15&amp;CHAR(10)&amp;IFERROR(IF(INDEX(tblStellplatz[SAP],MATCH(PlanLayout!M15,tblStellplatz[Stellplatz],0))="","leer",IF(LEFT(RIGHT(INDEX(tblStellplatz[SAP],MATCH(PlanLayout!M15,tblStellplatz[Stellplatz],0)),4),1)="0",RIGHT(INDEX(tblStellplatz[SAP],MATCH(PlanLayout!M15,tblStellplatz[Stellplatz],0)),5),RIGHT(INDEX(tblStellplatz[SAP],MATCH(PlanLayout!M15,tblStellplatz[Stellplatz],0)),4))),"?"))</f>
        <v/>
      </c>
      <c r="N15" s="4">
        <f>IF(PlanLayout!N15="","",PlanLayout!N15&amp;CHAR(10)&amp;IFERROR(IF(INDEX(tblStellplatz[SAP],MATCH(PlanLayout!N15,tblStellplatz[Stellplatz],0))="","leer",IF(LEFT(RIGHT(INDEX(tblStellplatz[SAP],MATCH(PlanLayout!N15,tblStellplatz[Stellplatz],0)),4),1)="0",RIGHT(INDEX(tblStellplatz[SAP],MATCH(PlanLayout!N15,tblStellplatz[Stellplatz],0)),5),RIGHT(INDEX(tblStellplatz[SAP],MATCH(PlanLayout!N15,tblStellplatz[Stellplatz],0)),4))),"?"))</f>
        <v/>
      </c>
      <c r="O15" s="4">
        <f>IF(PlanLayout!O15="","",PlanLayout!O15&amp;CHAR(10)&amp;IFERROR(IF(INDEX(tblStellplatz[SAP],MATCH(PlanLayout!O15,tblStellplatz[Stellplatz],0))="","leer",IF(LEFT(RIGHT(INDEX(tblStellplatz[SAP],MATCH(PlanLayout!O15,tblStellplatz[Stellplatz],0)),4),1)="0",RIGHT(INDEX(tblStellplatz[SAP],MATCH(PlanLayout!O15,tblStellplatz[Stellplatz],0)),5),RIGHT(INDEX(tblStellplatz[SAP],MATCH(PlanLayout!O15,tblStellplatz[Stellplatz],0)),4))),"?"))</f>
        <v/>
      </c>
      <c r="P15" s="4">
        <f>IF(PlanLayout!P15="","",PlanLayout!P15&amp;CHAR(10)&amp;IFERROR(IF(INDEX(tblStellplatz[SAP],MATCH(PlanLayout!P15,tblStellplatz[Stellplatz],0))="","leer",IF(LEFT(RIGHT(INDEX(tblStellplatz[SAP],MATCH(PlanLayout!P15,tblStellplatz[Stellplatz],0)),4),1)="0",RIGHT(INDEX(tblStellplatz[SAP],MATCH(PlanLayout!P15,tblStellplatz[Stellplatz],0)),5),RIGHT(INDEX(tblStellplatz[SAP],MATCH(PlanLayout!P15,tblStellplatz[Stellplatz],0)),4))),"?"))</f>
        <v/>
      </c>
      <c r="Q15" s="4">
        <f>IF(PlanLayout!Q15="","",PlanLayout!Q15&amp;CHAR(10)&amp;IFERROR(IF(INDEX(tblStellplatz[SAP],MATCH(PlanLayout!Q15,tblStellplatz[Stellplatz],0))="","leer",IF(LEFT(RIGHT(INDEX(tblStellplatz[SAP],MATCH(PlanLayout!Q15,tblStellplatz[Stellplatz],0)),4),1)="0",RIGHT(INDEX(tblStellplatz[SAP],MATCH(PlanLayout!Q15,tblStellplatz[Stellplatz],0)),5),RIGHT(INDEX(tblStellplatz[SAP],MATCH(PlanLayout!Q15,tblStellplatz[Stellplatz],0)),4))),"?"))</f>
        <v/>
      </c>
      <c r="R15" s="4">
        <f>IF(PlanLayout!R15="","",PlanLayout!R15&amp;CHAR(10)&amp;IFERROR(IF(INDEX(tblStellplatz[SAP],MATCH(PlanLayout!R15,tblStellplatz[Stellplatz],0))="","leer",IF(LEFT(RIGHT(INDEX(tblStellplatz[SAP],MATCH(PlanLayout!R15,tblStellplatz[Stellplatz],0)),4),1)="0",RIGHT(INDEX(tblStellplatz[SAP],MATCH(PlanLayout!R15,tblStellplatz[Stellplatz],0)),5),RIGHT(INDEX(tblStellplatz[SAP],MATCH(PlanLayout!R15,tblStellplatz[Stellplatz],0)),4))),"?"))</f>
        <v/>
      </c>
      <c r="S15" s="4">
        <f>IF(PlanLayout!S15="","",PlanLayout!S15&amp;CHAR(10)&amp;IFERROR(IF(INDEX(tblStellplatz[SAP],MATCH(PlanLayout!S15,tblStellplatz[Stellplatz],0))="","leer",IF(LEFT(RIGHT(INDEX(tblStellplatz[SAP],MATCH(PlanLayout!S15,tblStellplatz[Stellplatz],0)),4),1)="0",RIGHT(INDEX(tblStellplatz[SAP],MATCH(PlanLayout!S15,tblStellplatz[Stellplatz],0)),5),RIGHT(INDEX(tblStellplatz[SAP],MATCH(PlanLayout!S15,tblStellplatz[Stellplatz],0)),4))),"?"))</f>
        <v/>
      </c>
      <c r="T15" s="4">
        <f>IF(PlanLayout!T15="","",PlanLayout!T15&amp;CHAR(10)&amp;IFERROR(IF(INDEX(tblStellplatz[SAP],MATCH(PlanLayout!T15,tblStellplatz[Stellplatz],0))="","leer",IF(LEFT(RIGHT(INDEX(tblStellplatz[SAP],MATCH(PlanLayout!T15,tblStellplatz[Stellplatz],0)),4),1)="0",RIGHT(INDEX(tblStellplatz[SAP],MATCH(PlanLayout!T15,tblStellplatz[Stellplatz],0)),5),RIGHT(INDEX(tblStellplatz[SAP],MATCH(PlanLayout!T15,tblStellplatz[Stellplatz],0)),4))),"?"))</f>
        <v/>
      </c>
      <c r="U15" s="4">
        <f>IF(PlanLayout!U15="","",PlanLayout!U15&amp;CHAR(10)&amp;IFERROR(IF(INDEX(tblStellplatz[SAP],MATCH(PlanLayout!U15,tblStellplatz[Stellplatz],0))="","leer",IF(LEFT(RIGHT(INDEX(tblStellplatz[SAP],MATCH(PlanLayout!U15,tblStellplatz[Stellplatz],0)),4),1)="0",RIGHT(INDEX(tblStellplatz[SAP],MATCH(PlanLayout!U15,tblStellplatz[Stellplatz],0)),5),RIGHT(INDEX(tblStellplatz[SAP],MATCH(PlanLayout!U15,tblStellplatz[Stellplatz],0)),4))),"?"))</f>
        <v/>
      </c>
      <c r="V15" s="4">
        <f>IF(PlanLayout!V15="","",PlanLayout!V15&amp;CHAR(10)&amp;IFERROR(IF(INDEX(tblStellplatz[SAP],MATCH(PlanLayout!V15,tblStellplatz[Stellplatz],0))="","leer",IF(LEFT(RIGHT(INDEX(tblStellplatz[SAP],MATCH(PlanLayout!V15,tblStellplatz[Stellplatz],0)),4),1)="0",RIGHT(INDEX(tblStellplatz[SAP],MATCH(PlanLayout!V15,tblStellplatz[Stellplatz],0)),5),RIGHT(INDEX(tblStellplatz[SAP],MATCH(PlanLayout!V15,tblStellplatz[Stellplatz],0)),4))),"?"))</f>
        <v/>
      </c>
      <c r="W15" s="4">
        <f>IF(PlanLayout!W15="","",PlanLayout!W15&amp;CHAR(10)&amp;IFERROR(IF(INDEX(tblStellplatz[SAP],MATCH(PlanLayout!W15,tblStellplatz[Stellplatz],0))="","leer",IF(LEFT(RIGHT(INDEX(tblStellplatz[SAP],MATCH(PlanLayout!W15,tblStellplatz[Stellplatz],0)),4),1)="0",RIGHT(INDEX(tblStellplatz[SAP],MATCH(PlanLayout!W15,tblStellplatz[Stellplatz],0)),5),RIGHT(INDEX(tblStellplatz[SAP],MATCH(PlanLayout!W15,tblStellplatz[Stellplatz],0)),4))),"?"))</f>
        <v/>
      </c>
      <c r="X15" s="4">
        <f>IF(PlanLayout!X15="","",PlanLayout!X15&amp;CHAR(10)&amp;IFERROR(IF(INDEX(tblStellplatz[SAP],MATCH(PlanLayout!X15,tblStellplatz[Stellplatz],0))="","leer",IF(LEFT(RIGHT(INDEX(tblStellplatz[SAP],MATCH(PlanLayout!X15,tblStellplatz[Stellplatz],0)),4),1)="0",RIGHT(INDEX(tblStellplatz[SAP],MATCH(PlanLayout!X15,tblStellplatz[Stellplatz],0)),5),RIGHT(INDEX(tblStellplatz[SAP],MATCH(PlanLayout!X15,tblStellplatz[Stellplatz],0)),4))),"?"))</f>
        <v/>
      </c>
      <c r="Y15" s="4">
        <f>IF(PlanLayout!Y15="","",PlanLayout!Y15&amp;CHAR(10)&amp;IFERROR(IF(INDEX(tblStellplatz[SAP],MATCH(PlanLayout!Y15,tblStellplatz[Stellplatz],0))="","leer",IF(LEFT(RIGHT(INDEX(tblStellplatz[SAP],MATCH(PlanLayout!Y15,tblStellplatz[Stellplatz],0)),4),1)="0",RIGHT(INDEX(tblStellplatz[SAP],MATCH(PlanLayout!Y15,tblStellplatz[Stellplatz],0)),5),RIGHT(INDEX(tblStellplatz[SAP],MATCH(PlanLayout!Y15,tblStellplatz[Stellplatz],0)),4))),"?"))</f>
        <v/>
      </c>
      <c r="Z15" s="4">
        <f>IF(PlanLayout!Z15="","",PlanLayout!Z15&amp;CHAR(10)&amp;IFERROR(IF(INDEX(tblStellplatz[SAP],MATCH(PlanLayout!Z15,tblStellplatz[Stellplatz],0))="","leer",IF(LEFT(RIGHT(INDEX(tblStellplatz[SAP],MATCH(PlanLayout!Z15,tblStellplatz[Stellplatz],0)),4),1)="0",RIGHT(INDEX(tblStellplatz[SAP],MATCH(PlanLayout!Z15,tblStellplatz[Stellplatz],0)),5),RIGHT(INDEX(tblStellplatz[SAP],MATCH(PlanLayout!Z15,tblStellplatz[Stellplatz],0)),4))),"?"))</f>
        <v/>
      </c>
      <c r="AA15" s="4">
        <f>IF(PlanLayout!AA15="","",PlanLayout!AA15&amp;CHAR(10)&amp;IFERROR(IF(INDEX(tblStellplatz[SAP],MATCH(PlanLayout!AA15,tblStellplatz[Stellplatz],0))="","leer",IF(LEFT(RIGHT(INDEX(tblStellplatz[SAP],MATCH(PlanLayout!AA15,tblStellplatz[Stellplatz],0)),4),1)="0",RIGHT(INDEX(tblStellplatz[SAP],MATCH(PlanLayout!AA15,tblStellplatz[Stellplatz],0)),5),RIGHT(INDEX(tblStellplatz[SAP],MATCH(PlanLayout!AA15,tblStellplatz[Stellplatz],0)),4))),"?"))</f>
        <v/>
      </c>
      <c r="AB15" s="4">
        <f>IF(PlanLayout!AB15="","",PlanLayout!AB15&amp;CHAR(10)&amp;IFERROR(IF(INDEX(tblStellplatz[SAP],MATCH(PlanLayout!AB15,tblStellplatz[Stellplatz],0))="","leer",IF(LEFT(RIGHT(INDEX(tblStellplatz[SAP],MATCH(PlanLayout!AB15,tblStellplatz[Stellplatz],0)),4),1)="0",RIGHT(INDEX(tblStellplatz[SAP],MATCH(PlanLayout!AB15,tblStellplatz[Stellplatz],0)),5),RIGHT(INDEX(tblStellplatz[SAP],MATCH(PlanLayout!AB15,tblStellplatz[Stellplatz],0)),4))),"?"))</f>
        <v/>
      </c>
      <c r="AC15" s="4">
        <f>IF(PlanLayout!AC15="","",PlanLayout!AC15&amp;CHAR(10)&amp;IFERROR(IF(INDEX(tblStellplatz[SAP],MATCH(PlanLayout!AC15,tblStellplatz[Stellplatz],0))="","leer",IF(LEFT(RIGHT(INDEX(tblStellplatz[SAP],MATCH(PlanLayout!AC15,tblStellplatz[Stellplatz],0)),4),1)="0",RIGHT(INDEX(tblStellplatz[SAP],MATCH(PlanLayout!AC15,tblStellplatz[Stellplatz],0)),5),RIGHT(INDEX(tblStellplatz[SAP],MATCH(PlanLayout!AC15,tblStellplatz[Stellplatz],0)),4))),"?"))</f>
        <v/>
      </c>
      <c r="AD15" s="4">
        <f>IF(PlanLayout!AD15="","",PlanLayout!AD15&amp;CHAR(10)&amp;IFERROR(IF(INDEX(tblStellplatz[SAP],MATCH(PlanLayout!AD15,tblStellplatz[Stellplatz],0))="","leer",IF(LEFT(RIGHT(INDEX(tblStellplatz[SAP],MATCH(PlanLayout!AD15,tblStellplatz[Stellplatz],0)),4),1)="0",RIGHT(INDEX(tblStellplatz[SAP],MATCH(PlanLayout!AD15,tblStellplatz[Stellplatz],0)),5),RIGHT(INDEX(tblStellplatz[SAP],MATCH(PlanLayout!AD15,tblStellplatz[Stellplatz],0)),4))),"?"))</f>
        <v/>
      </c>
      <c r="AE15" s="4">
        <f>IF(PlanLayout!AE15="","",PlanLayout!AE15&amp;CHAR(10)&amp;IFERROR(IF(INDEX(tblStellplatz[SAP],MATCH(PlanLayout!AE15,tblStellplatz[Stellplatz],0))="","leer",IF(LEFT(RIGHT(INDEX(tblStellplatz[SAP],MATCH(PlanLayout!AE15,tblStellplatz[Stellplatz],0)),4),1)="0",RIGHT(INDEX(tblStellplatz[SAP],MATCH(PlanLayout!AE15,tblStellplatz[Stellplatz],0)),5),RIGHT(INDEX(tblStellplatz[SAP],MATCH(PlanLayout!AE15,tblStellplatz[Stellplatz],0)),4))),"?"))</f>
        <v/>
      </c>
      <c r="AF15" s="4">
        <f>IF(PlanLayout!AF15="","",PlanLayout!AF15&amp;CHAR(10)&amp;IFERROR(IF(INDEX(tblStellplatz[SAP],MATCH(PlanLayout!AF15,tblStellplatz[Stellplatz],0))="","leer",IF(LEFT(RIGHT(INDEX(tblStellplatz[SAP],MATCH(PlanLayout!AF15,tblStellplatz[Stellplatz],0)),4),1)="0",RIGHT(INDEX(tblStellplatz[SAP],MATCH(PlanLayout!AF15,tblStellplatz[Stellplatz],0)),5),RIGHT(INDEX(tblStellplatz[SAP],MATCH(PlanLayout!AF15,tblStellplatz[Stellplatz],0)),4))),"?"))</f>
        <v/>
      </c>
      <c r="AG15" s="4">
        <f>IF(PlanLayout!AG15="","",PlanLayout!AG15&amp;CHAR(10)&amp;IFERROR(IF(INDEX(tblStellplatz[SAP],MATCH(PlanLayout!AG15,tblStellplatz[Stellplatz],0))="","leer",IF(LEFT(RIGHT(INDEX(tblStellplatz[SAP],MATCH(PlanLayout!AG15,tblStellplatz[Stellplatz],0)),4),1)="0",RIGHT(INDEX(tblStellplatz[SAP],MATCH(PlanLayout!AG15,tblStellplatz[Stellplatz],0)),5),RIGHT(INDEX(tblStellplatz[SAP],MATCH(PlanLayout!AG15,tblStellplatz[Stellplatz],0)),4))),"?"))</f>
        <v/>
      </c>
      <c r="AH15" s="4">
        <f>IF(PlanLayout!AH15="","",PlanLayout!AH15&amp;CHAR(10)&amp;IFERROR(IF(INDEX(tblStellplatz[SAP],MATCH(PlanLayout!AH15,tblStellplatz[Stellplatz],0))="","leer",IF(LEFT(RIGHT(INDEX(tblStellplatz[SAP],MATCH(PlanLayout!AH15,tblStellplatz[Stellplatz],0)),4),1)="0",RIGHT(INDEX(tblStellplatz[SAP],MATCH(PlanLayout!AH15,tblStellplatz[Stellplatz],0)),5),RIGHT(INDEX(tblStellplatz[SAP],MATCH(PlanLayout!AH15,tblStellplatz[Stellplatz],0)),4))),"?"))</f>
        <v/>
      </c>
      <c r="AI15" s="4">
        <f>IF(PlanLayout!AI15="","",PlanLayout!AI15&amp;CHAR(10)&amp;IFERROR(IF(INDEX(tblStellplatz[SAP],MATCH(PlanLayout!AI15,tblStellplatz[Stellplatz],0))="","leer",IF(LEFT(RIGHT(INDEX(tblStellplatz[SAP],MATCH(PlanLayout!AI15,tblStellplatz[Stellplatz],0)),4),1)="0",RIGHT(INDEX(tblStellplatz[SAP],MATCH(PlanLayout!AI15,tblStellplatz[Stellplatz],0)),5),RIGHT(INDEX(tblStellplatz[SAP],MATCH(PlanLayout!AI15,tblStellplatz[Stellplatz],0)),4))),"?"))</f>
        <v/>
      </c>
      <c r="AJ15" s="4">
        <f>IF(PlanLayout!AJ15="","",PlanLayout!AJ15&amp;CHAR(10)&amp;IFERROR(IF(INDEX(tblStellplatz[SAP],MATCH(PlanLayout!AJ15,tblStellplatz[Stellplatz],0))="","leer",IF(LEFT(RIGHT(INDEX(tblStellplatz[SAP],MATCH(PlanLayout!AJ15,tblStellplatz[Stellplatz],0)),4),1)="0",RIGHT(INDEX(tblStellplatz[SAP],MATCH(PlanLayout!AJ15,tblStellplatz[Stellplatz],0)),5),RIGHT(INDEX(tblStellplatz[SAP],MATCH(PlanLayout!AJ15,tblStellplatz[Stellplatz],0)),4))),"?"))</f>
        <v/>
      </c>
      <c r="AK15" s="4">
        <f>IF(PlanLayout!AK15="","",PlanLayout!AK15&amp;CHAR(10)&amp;IFERROR(IF(INDEX(tblStellplatz[SAP],MATCH(PlanLayout!AK15,tblStellplatz[Stellplatz],0))="","leer",IF(LEFT(RIGHT(INDEX(tblStellplatz[SAP],MATCH(PlanLayout!AK15,tblStellplatz[Stellplatz],0)),4),1)="0",RIGHT(INDEX(tblStellplatz[SAP],MATCH(PlanLayout!AK15,tblStellplatz[Stellplatz],0)),5),RIGHT(INDEX(tblStellplatz[SAP],MATCH(PlanLayout!AK15,tblStellplatz[Stellplatz],0)),4))),"?"))</f>
        <v/>
      </c>
      <c r="AL15" s="4">
        <f>IF(PlanLayout!AL15="","",PlanLayout!AL15&amp;CHAR(10)&amp;IFERROR(IF(INDEX(tblStellplatz[SAP],MATCH(PlanLayout!AL15,tblStellplatz[Stellplatz],0))="","leer",IF(LEFT(RIGHT(INDEX(tblStellplatz[SAP],MATCH(PlanLayout!AL15,tblStellplatz[Stellplatz],0)),4),1)="0",RIGHT(INDEX(tblStellplatz[SAP],MATCH(PlanLayout!AL15,tblStellplatz[Stellplatz],0)),5),RIGHT(INDEX(tblStellplatz[SAP],MATCH(PlanLayout!AL15,tblStellplatz[Stellplatz],0)),4))),"?"))</f>
        <v/>
      </c>
      <c r="AM15" s="4">
        <f>IF(PlanLayout!AM15="","",PlanLayout!AM15&amp;CHAR(10)&amp;IFERROR(IF(INDEX(tblStellplatz[SAP],MATCH(PlanLayout!AM15,tblStellplatz[Stellplatz],0))="","leer",IF(LEFT(RIGHT(INDEX(tblStellplatz[SAP],MATCH(PlanLayout!AM15,tblStellplatz[Stellplatz],0)),4),1)="0",RIGHT(INDEX(tblStellplatz[SAP],MATCH(PlanLayout!AM15,tblStellplatz[Stellplatz],0)),5),RIGHT(INDEX(tblStellplatz[SAP],MATCH(PlanLayout!AM15,tblStellplatz[Stellplatz],0)),4))),"?"))</f>
        <v/>
      </c>
      <c r="AN15" s="4">
        <f>IF(PlanLayout!AN15="","",PlanLayout!AN15&amp;CHAR(10)&amp;IFERROR(IF(INDEX(tblStellplatz[SAP],MATCH(PlanLayout!AN15,tblStellplatz[Stellplatz],0))="","leer",IF(LEFT(RIGHT(INDEX(tblStellplatz[SAP],MATCH(PlanLayout!AN15,tblStellplatz[Stellplatz],0)),4),1)="0",RIGHT(INDEX(tblStellplatz[SAP],MATCH(PlanLayout!AN15,tblStellplatz[Stellplatz],0)),5),RIGHT(INDEX(tblStellplatz[SAP],MATCH(PlanLayout!AN15,tblStellplatz[Stellplatz],0)),4))),"?"))</f>
        <v/>
      </c>
      <c r="AO15" s="4">
        <f>IF(PlanLayout!AO15="","",PlanLayout!AO15&amp;CHAR(10)&amp;IFERROR(IF(INDEX(tblStellplatz[SAP],MATCH(PlanLayout!AO15,tblStellplatz[Stellplatz],0))="","leer",IF(LEFT(RIGHT(INDEX(tblStellplatz[SAP],MATCH(PlanLayout!AO15,tblStellplatz[Stellplatz],0)),4),1)="0",RIGHT(INDEX(tblStellplatz[SAP],MATCH(PlanLayout!AO15,tblStellplatz[Stellplatz],0)),5),RIGHT(INDEX(tblStellplatz[SAP],MATCH(PlanLayout!AO15,tblStellplatz[Stellplatz],0)),4))),"?"))</f>
        <v/>
      </c>
    </row>
    <row r="16" ht="30" customHeight="1">
      <c r="B16" s="4">
        <f>IF(PlanLayout!B16="","",PlanLayout!B16&amp;CHAR(10)&amp;IFERROR(IF(INDEX(tblStellplatz[SAP],MATCH(PlanLayout!B16,tblStellplatz[Stellplatz],0))="","leer",IF(LEFT(RIGHT(INDEX(tblStellplatz[SAP],MATCH(PlanLayout!B16,tblStellplatz[Stellplatz],0)),4),1)="0",RIGHT(INDEX(tblStellplatz[SAP],MATCH(PlanLayout!B16,tblStellplatz[Stellplatz],0)),5),RIGHT(INDEX(tblStellplatz[SAP],MATCH(PlanLayout!B16,tblStellplatz[Stellplatz],0)),4))),"?"))</f>
        <v/>
      </c>
      <c r="C16" s="4">
        <f>IF(PlanLayout!C16="","",PlanLayout!C16&amp;CHAR(10)&amp;IFERROR(IF(INDEX(tblStellplatz[SAP],MATCH(PlanLayout!C16,tblStellplatz[Stellplatz],0))="","leer",IF(LEFT(RIGHT(INDEX(tblStellplatz[SAP],MATCH(PlanLayout!C16,tblStellplatz[Stellplatz],0)),4),1)="0",RIGHT(INDEX(tblStellplatz[SAP],MATCH(PlanLayout!C16,tblStellplatz[Stellplatz],0)),5),RIGHT(INDEX(tblStellplatz[SAP],MATCH(PlanLayout!C16,tblStellplatz[Stellplatz],0)),4))),"?"))</f>
        <v/>
      </c>
      <c r="D16" s="4">
        <f>IF(PlanLayout!D16="","",PlanLayout!D16&amp;CHAR(10)&amp;IFERROR(IF(INDEX(tblStellplatz[SAP],MATCH(PlanLayout!D16,tblStellplatz[Stellplatz],0))="","leer",IF(LEFT(RIGHT(INDEX(tblStellplatz[SAP],MATCH(PlanLayout!D16,tblStellplatz[Stellplatz],0)),4),1)="0",RIGHT(INDEX(tblStellplatz[SAP],MATCH(PlanLayout!D16,tblStellplatz[Stellplatz],0)),5),RIGHT(INDEX(tblStellplatz[SAP],MATCH(PlanLayout!D16,tblStellplatz[Stellplatz],0)),4))),"?"))</f>
        <v/>
      </c>
      <c r="E16" s="4">
        <f>IF(PlanLayout!E16="","",PlanLayout!E16&amp;CHAR(10)&amp;IFERROR(IF(INDEX(tblStellplatz[SAP],MATCH(PlanLayout!E16,tblStellplatz[Stellplatz],0))="","leer",IF(LEFT(RIGHT(INDEX(tblStellplatz[SAP],MATCH(PlanLayout!E16,tblStellplatz[Stellplatz],0)),4),1)="0",RIGHT(INDEX(tblStellplatz[SAP],MATCH(PlanLayout!E16,tblStellplatz[Stellplatz],0)),5),RIGHT(INDEX(tblStellplatz[SAP],MATCH(PlanLayout!E16,tblStellplatz[Stellplatz],0)),4))),"?"))</f>
        <v/>
      </c>
      <c r="F16" s="4">
        <f>IF(PlanLayout!F16="","",PlanLayout!F16&amp;CHAR(10)&amp;IFERROR(IF(INDEX(tblStellplatz[SAP],MATCH(PlanLayout!F16,tblStellplatz[Stellplatz],0))="","leer",IF(LEFT(RIGHT(INDEX(tblStellplatz[SAP],MATCH(PlanLayout!F16,tblStellplatz[Stellplatz],0)),4),1)="0",RIGHT(INDEX(tblStellplatz[SAP],MATCH(PlanLayout!F16,tblStellplatz[Stellplatz],0)),5),RIGHT(INDEX(tblStellplatz[SAP],MATCH(PlanLayout!F16,tblStellplatz[Stellplatz],0)),4))),"?"))</f>
        <v/>
      </c>
      <c r="G16" s="4">
        <f>IF(PlanLayout!G16="","",PlanLayout!G16&amp;CHAR(10)&amp;IFERROR(IF(INDEX(tblStellplatz[SAP],MATCH(PlanLayout!G16,tblStellplatz[Stellplatz],0))="","leer",IF(LEFT(RIGHT(INDEX(tblStellplatz[SAP],MATCH(PlanLayout!G16,tblStellplatz[Stellplatz],0)),4),1)="0",RIGHT(INDEX(tblStellplatz[SAP],MATCH(PlanLayout!G16,tblStellplatz[Stellplatz],0)),5),RIGHT(INDEX(tblStellplatz[SAP],MATCH(PlanLayout!G16,tblStellplatz[Stellplatz],0)),4))),"?"))</f>
        <v/>
      </c>
      <c r="H16" s="4">
        <f>IF(PlanLayout!H16="","",PlanLayout!H16&amp;CHAR(10)&amp;IFERROR(IF(INDEX(tblStellplatz[SAP],MATCH(PlanLayout!H16,tblStellplatz[Stellplatz],0))="","leer",IF(LEFT(RIGHT(INDEX(tblStellplatz[SAP],MATCH(PlanLayout!H16,tblStellplatz[Stellplatz],0)),4),1)="0",RIGHT(INDEX(tblStellplatz[SAP],MATCH(PlanLayout!H16,tblStellplatz[Stellplatz],0)),5),RIGHT(INDEX(tblStellplatz[SAP],MATCH(PlanLayout!H16,tblStellplatz[Stellplatz],0)),4))),"?"))</f>
        <v/>
      </c>
      <c r="I16" s="4">
        <f>IF(PlanLayout!I16="","",PlanLayout!I16&amp;CHAR(10)&amp;IFERROR(IF(INDEX(tblStellplatz[SAP],MATCH(PlanLayout!I16,tblStellplatz[Stellplatz],0))="","leer",IF(LEFT(RIGHT(INDEX(tblStellplatz[SAP],MATCH(PlanLayout!I16,tblStellplatz[Stellplatz],0)),4),1)="0",RIGHT(INDEX(tblStellplatz[SAP],MATCH(PlanLayout!I16,tblStellplatz[Stellplatz],0)),5),RIGHT(INDEX(tblStellplatz[SAP],MATCH(PlanLayout!I16,tblStellplatz[Stellplatz],0)),4))),"?"))</f>
        <v/>
      </c>
      <c r="J16" s="4">
        <f>IF(PlanLayout!J16="","",PlanLayout!J16&amp;CHAR(10)&amp;IFERROR(IF(INDEX(tblStellplatz[SAP],MATCH(PlanLayout!J16,tblStellplatz[Stellplatz],0))="","leer",IF(LEFT(RIGHT(INDEX(tblStellplatz[SAP],MATCH(PlanLayout!J16,tblStellplatz[Stellplatz],0)),4),1)="0",RIGHT(INDEX(tblStellplatz[SAP],MATCH(PlanLayout!J16,tblStellplatz[Stellplatz],0)),5),RIGHT(INDEX(tblStellplatz[SAP],MATCH(PlanLayout!J16,tblStellplatz[Stellplatz],0)),4))),"?"))</f>
        <v/>
      </c>
      <c r="K16" s="4">
        <f>IF(PlanLayout!K16="","",PlanLayout!K16&amp;CHAR(10)&amp;IFERROR(IF(INDEX(tblStellplatz[SAP],MATCH(PlanLayout!K16,tblStellplatz[Stellplatz],0))="","leer",IF(LEFT(RIGHT(INDEX(tblStellplatz[SAP],MATCH(PlanLayout!K16,tblStellplatz[Stellplatz],0)),4),1)="0",RIGHT(INDEX(tblStellplatz[SAP],MATCH(PlanLayout!K16,tblStellplatz[Stellplatz],0)),5),RIGHT(INDEX(tblStellplatz[SAP],MATCH(PlanLayout!K16,tblStellplatz[Stellplatz],0)),4))),"?"))</f>
        <v/>
      </c>
      <c r="L16" s="4">
        <f>IF(PlanLayout!L16="","",PlanLayout!L16&amp;CHAR(10)&amp;IFERROR(IF(INDEX(tblStellplatz[SAP],MATCH(PlanLayout!L16,tblStellplatz[Stellplatz],0))="","leer",IF(LEFT(RIGHT(INDEX(tblStellplatz[SAP],MATCH(PlanLayout!L16,tblStellplatz[Stellplatz],0)),4),1)="0",RIGHT(INDEX(tblStellplatz[SAP],MATCH(PlanLayout!L16,tblStellplatz[Stellplatz],0)),5),RIGHT(INDEX(tblStellplatz[SAP],MATCH(PlanLayout!L16,tblStellplatz[Stellplatz],0)),4))),"?"))</f>
        <v/>
      </c>
      <c r="M16" s="4">
        <f>IF(PlanLayout!M16="","",PlanLayout!M16&amp;CHAR(10)&amp;IFERROR(IF(INDEX(tblStellplatz[SAP],MATCH(PlanLayout!M16,tblStellplatz[Stellplatz],0))="","leer",IF(LEFT(RIGHT(INDEX(tblStellplatz[SAP],MATCH(PlanLayout!M16,tblStellplatz[Stellplatz],0)),4),1)="0",RIGHT(INDEX(tblStellplatz[SAP],MATCH(PlanLayout!M16,tblStellplatz[Stellplatz],0)),5),RIGHT(INDEX(tblStellplatz[SAP],MATCH(PlanLayout!M16,tblStellplatz[Stellplatz],0)),4))),"?"))</f>
        <v/>
      </c>
      <c r="N16" s="4">
        <f>IF(PlanLayout!N16="","",PlanLayout!N16&amp;CHAR(10)&amp;IFERROR(IF(INDEX(tblStellplatz[SAP],MATCH(PlanLayout!N16,tblStellplatz[Stellplatz],0))="","leer",IF(LEFT(RIGHT(INDEX(tblStellplatz[SAP],MATCH(PlanLayout!N16,tblStellplatz[Stellplatz],0)),4),1)="0",RIGHT(INDEX(tblStellplatz[SAP],MATCH(PlanLayout!N16,tblStellplatz[Stellplatz],0)),5),RIGHT(INDEX(tblStellplatz[SAP],MATCH(PlanLayout!N16,tblStellplatz[Stellplatz],0)),4))),"?"))</f>
        <v/>
      </c>
      <c r="O16" s="4">
        <f>IF(PlanLayout!O16="","",PlanLayout!O16&amp;CHAR(10)&amp;IFERROR(IF(INDEX(tblStellplatz[SAP],MATCH(PlanLayout!O16,tblStellplatz[Stellplatz],0))="","leer",IF(LEFT(RIGHT(INDEX(tblStellplatz[SAP],MATCH(PlanLayout!O16,tblStellplatz[Stellplatz],0)),4),1)="0",RIGHT(INDEX(tblStellplatz[SAP],MATCH(PlanLayout!O16,tblStellplatz[Stellplatz],0)),5),RIGHT(INDEX(tblStellplatz[SAP],MATCH(PlanLayout!O16,tblStellplatz[Stellplatz],0)),4))),"?"))</f>
        <v/>
      </c>
      <c r="P16" s="4">
        <f>IF(PlanLayout!P16="","",PlanLayout!P16&amp;CHAR(10)&amp;IFERROR(IF(INDEX(tblStellplatz[SAP],MATCH(PlanLayout!P16,tblStellplatz[Stellplatz],0))="","leer",IF(LEFT(RIGHT(INDEX(tblStellplatz[SAP],MATCH(PlanLayout!P16,tblStellplatz[Stellplatz],0)),4),1)="0",RIGHT(INDEX(tblStellplatz[SAP],MATCH(PlanLayout!P16,tblStellplatz[Stellplatz],0)),5),RIGHT(INDEX(tblStellplatz[SAP],MATCH(PlanLayout!P16,tblStellplatz[Stellplatz],0)),4))),"?"))</f>
        <v/>
      </c>
      <c r="Q16" s="4">
        <f>IF(PlanLayout!Q16="","",PlanLayout!Q16&amp;CHAR(10)&amp;IFERROR(IF(INDEX(tblStellplatz[SAP],MATCH(PlanLayout!Q16,tblStellplatz[Stellplatz],0))="","leer",IF(LEFT(RIGHT(INDEX(tblStellplatz[SAP],MATCH(PlanLayout!Q16,tblStellplatz[Stellplatz],0)),4),1)="0",RIGHT(INDEX(tblStellplatz[SAP],MATCH(PlanLayout!Q16,tblStellplatz[Stellplatz],0)),5),RIGHT(INDEX(tblStellplatz[SAP],MATCH(PlanLayout!Q16,tblStellplatz[Stellplatz],0)),4))),"?"))</f>
        <v/>
      </c>
      <c r="R16" s="4">
        <f>IF(PlanLayout!R16="","",PlanLayout!R16&amp;CHAR(10)&amp;IFERROR(IF(INDEX(tblStellplatz[SAP],MATCH(PlanLayout!R16,tblStellplatz[Stellplatz],0))="","leer",IF(LEFT(RIGHT(INDEX(tblStellplatz[SAP],MATCH(PlanLayout!R16,tblStellplatz[Stellplatz],0)),4),1)="0",RIGHT(INDEX(tblStellplatz[SAP],MATCH(PlanLayout!R16,tblStellplatz[Stellplatz],0)),5),RIGHT(INDEX(tblStellplatz[SAP],MATCH(PlanLayout!R16,tblStellplatz[Stellplatz],0)),4))),"?"))</f>
        <v/>
      </c>
      <c r="S16" s="4">
        <f>IF(PlanLayout!S16="","",PlanLayout!S16&amp;CHAR(10)&amp;IFERROR(IF(INDEX(tblStellplatz[SAP],MATCH(PlanLayout!S16,tblStellplatz[Stellplatz],0))="","leer",IF(LEFT(RIGHT(INDEX(tblStellplatz[SAP],MATCH(PlanLayout!S16,tblStellplatz[Stellplatz],0)),4),1)="0",RIGHT(INDEX(tblStellplatz[SAP],MATCH(PlanLayout!S16,tblStellplatz[Stellplatz],0)),5),RIGHT(INDEX(tblStellplatz[SAP],MATCH(PlanLayout!S16,tblStellplatz[Stellplatz],0)),4))),"?"))</f>
        <v/>
      </c>
      <c r="T16" s="4">
        <f>IF(PlanLayout!T16="","",PlanLayout!T16&amp;CHAR(10)&amp;IFERROR(IF(INDEX(tblStellplatz[SAP],MATCH(PlanLayout!T16,tblStellplatz[Stellplatz],0))="","leer",IF(LEFT(RIGHT(INDEX(tblStellplatz[SAP],MATCH(PlanLayout!T16,tblStellplatz[Stellplatz],0)),4),1)="0",RIGHT(INDEX(tblStellplatz[SAP],MATCH(PlanLayout!T16,tblStellplatz[Stellplatz],0)),5),RIGHT(INDEX(tblStellplatz[SAP],MATCH(PlanLayout!T16,tblStellplatz[Stellplatz],0)),4))),"?"))</f>
        <v/>
      </c>
      <c r="U16" s="4">
        <f>IF(PlanLayout!U16="","",PlanLayout!U16&amp;CHAR(10)&amp;IFERROR(IF(INDEX(tblStellplatz[SAP],MATCH(PlanLayout!U16,tblStellplatz[Stellplatz],0))="","leer",IF(LEFT(RIGHT(INDEX(tblStellplatz[SAP],MATCH(PlanLayout!U16,tblStellplatz[Stellplatz],0)),4),1)="0",RIGHT(INDEX(tblStellplatz[SAP],MATCH(PlanLayout!U16,tblStellplatz[Stellplatz],0)),5),RIGHT(INDEX(tblStellplatz[SAP],MATCH(PlanLayout!U16,tblStellplatz[Stellplatz],0)),4))),"?"))</f>
        <v/>
      </c>
      <c r="V16" s="4">
        <f>IF(PlanLayout!V16="","",PlanLayout!V16&amp;CHAR(10)&amp;IFERROR(IF(INDEX(tblStellplatz[SAP],MATCH(PlanLayout!V16,tblStellplatz[Stellplatz],0))="","leer",IF(LEFT(RIGHT(INDEX(tblStellplatz[SAP],MATCH(PlanLayout!V16,tblStellplatz[Stellplatz],0)),4),1)="0",RIGHT(INDEX(tblStellplatz[SAP],MATCH(PlanLayout!V16,tblStellplatz[Stellplatz],0)),5),RIGHT(INDEX(tblStellplatz[SAP],MATCH(PlanLayout!V16,tblStellplatz[Stellplatz],0)),4))),"?"))</f>
        <v/>
      </c>
      <c r="W16" s="4">
        <f>IF(PlanLayout!W16="","",PlanLayout!W16&amp;CHAR(10)&amp;IFERROR(IF(INDEX(tblStellplatz[SAP],MATCH(PlanLayout!W16,tblStellplatz[Stellplatz],0))="","leer",IF(LEFT(RIGHT(INDEX(tblStellplatz[SAP],MATCH(PlanLayout!W16,tblStellplatz[Stellplatz],0)),4),1)="0",RIGHT(INDEX(tblStellplatz[SAP],MATCH(PlanLayout!W16,tblStellplatz[Stellplatz],0)),5),RIGHT(INDEX(tblStellplatz[SAP],MATCH(PlanLayout!W16,tblStellplatz[Stellplatz],0)),4))),"?"))</f>
        <v/>
      </c>
      <c r="X16" s="4">
        <f>IF(PlanLayout!X16="","",PlanLayout!X16&amp;CHAR(10)&amp;IFERROR(IF(INDEX(tblStellplatz[SAP],MATCH(PlanLayout!X16,tblStellplatz[Stellplatz],0))="","leer",IF(LEFT(RIGHT(INDEX(tblStellplatz[SAP],MATCH(PlanLayout!X16,tblStellplatz[Stellplatz],0)),4),1)="0",RIGHT(INDEX(tblStellplatz[SAP],MATCH(PlanLayout!X16,tblStellplatz[Stellplatz],0)),5),RIGHT(INDEX(tblStellplatz[SAP],MATCH(PlanLayout!X16,tblStellplatz[Stellplatz],0)),4))),"?"))</f>
        <v/>
      </c>
      <c r="Y16" s="4">
        <f>IF(PlanLayout!Y16="","",PlanLayout!Y16&amp;CHAR(10)&amp;IFERROR(IF(INDEX(tblStellplatz[SAP],MATCH(PlanLayout!Y16,tblStellplatz[Stellplatz],0))="","leer",IF(LEFT(RIGHT(INDEX(tblStellplatz[SAP],MATCH(PlanLayout!Y16,tblStellplatz[Stellplatz],0)),4),1)="0",RIGHT(INDEX(tblStellplatz[SAP],MATCH(PlanLayout!Y16,tblStellplatz[Stellplatz],0)),5),RIGHT(INDEX(tblStellplatz[SAP],MATCH(PlanLayout!Y16,tblStellplatz[Stellplatz],0)),4))),"?"))</f>
        <v/>
      </c>
      <c r="Z16" s="4">
        <f>IF(PlanLayout!Z16="","",PlanLayout!Z16&amp;CHAR(10)&amp;IFERROR(IF(INDEX(tblStellplatz[SAP],MATCH(PlanLayout!Z16,tblStellplatz[Stellplatz],0))="","leer",IF(LEFT(RIGHT(INDEX(tblStellplatz[SAP],MATCH(PlanLayout!Z16,tblStellplatz[Stellplatz],0)),4),1)="0",RIGHT(INDEX(tblStellplatz[SAP],MATCH(PlanLayout!Z16,tblStellplatz[Stellplatz],0)),5),RIGHT(INDEX(tblStellplatz[SAP],MATCH(PlanLayout!Z16,tblStellplatz[Stellplatz],0)),4))),"?"))</f>
        <v/>
      </c>
      <c r="AA16" s="4">
        <f>IF(PlanLayout!AA16="","",PlanLayout!AA16&amp;CHAR(10)&amp;IFERROR(IF(INDEX(tblStellplatz[SAP],MATCH(PlanLayout!AA16,tblStellplatz[Stellplatz],0))="","leer",IF(LEFT(RIGHT(INDEX(tblStellplatz[SAP],MATCH(PlanLayout!AA16,tblStellplatz[Stellplatz],0)),4),1)="0",RIGHT(INDEX(tblStellplatz[SAP],MATCH(PlanLayout!AA16,tblStellplatz[Stellplatz],0)),5),RIGHT(INDEX(tblStellplatz[SAP],MATCH(PlanLayout!AA16,tblStellplatz[Stellplatz],0)),4))),"?"))</f>
        <v/>
      </c>
      <c r="AB16" s="4">
        <f>IF(PlanLayout!AB16="","",PlanLayout!AB16&amp;CHAR(10)&amp;IFERROR(IF(INDEX(tblStellplatz[SAP],MATCH(PlanLayout!AB16,tblStellplatz[Stellplatz],0))="","leer",IF(LEFT(RIGHT(INDEX(tblStellplatz[SAP],MATCH(PlanLayout!AB16,tblStellplatz[Stellplatz],0)),4),1)="0",RIGHT(INDEX(tblStellplatz[SAP],MATCH(PlanLayout!AB16,tblStellplatz[Stellplatz],0)),5),RIGHT(INDEX(tblStellplatz[SAP],MATCH(PlanLayout!AB16,tblStellplatz[Stellplatz],0)),4))),"?"))</f>
        <v/>
      </c>
      <c r="AC16" s="4">
        <f>IF(PlanLayout!AC16="","",PlanLayout!AC16&amp;CHAR(10)&amp;IFERROR(IF(INDEX(tblStellplatz[SAP],MATCH(PlanLayout!AC16,tblStellplatz[Stellplatz],0))="","leer",IF(LEFT(RIGHT(INDEX(tblStellplatz[SAP],MATCH(PlanLayout!AC16,tblStellplatz[Stellplatz],0)),4),1)="0",RIGHT(INDEX(tblStellplatz[SAP],MATCH(PlanLayout!AC16,tblStellplatz[Stellplatz],0)),5),RIGHT(INDEX(tblStellplatz[SAP],MATCH(PlanLayout!AC16,tblStellplatz[Stellplatz],0)),4))),"?"))</f>
        <v/>
      </c>
      <c r="AD16" s="4">
        <f>IF(PlanLayout!AD16="","",PlanLayout!AD16&amp;CHAR(10)&amp;IFERROR(IF(INDEX(tblStellplatz[SAP],MATCH(PlanLayout!AD16,tblStellplatz[Stellplatz],0))="","leer",IF(LEFT(RIGHT(INDEX(tblStellplatz[SAP],MATCH(PlanLayout!AD16,tblStellplatz[Stellplatz],0)),4),1)="0",RIGHT(INDEX(tblStellplatz[SAP],MATCH(PlanLayout!AD16,tblStellplatz[Stellplatz],0)),5),RIGHT(INDEX(tblStellplatz[SAP],MATCH(PlanLayout!AD16,tblStellplatz[Stellplatz],0)),4))),"?"))</f>
        <v/>
      </c>
      <c r="AE16" s="4">
        <f>IF(PlanLayout!AE16="","",PlanLayout!AE16&amp;CHAR(10)&amp;IFERROR(IF(INDEX(tblStellplatz[SAP],MATCH(PlanLayout!AE16,tblStellplatz[Stellplatz],0))="","leer",IF(LEFT(RIGHT(INDEX(tblStellplatz[SAP],MATCH(PlanLayout!AE16,tblStellplatz[Stellplatz],0)),4),1)="0",RIGHT(INDEX(tblStellplatz[SAP],MATCH(PlanLayout!AE16,tblStellplatz[Stellplatz],0)),5),RIGHT(INDEX(tblStellplatz[SAP],MATCH(PlanLayout!AE16,tblStellplatz[Stellplatz],0)),4))),"?"))</f>
        <v/>
      </c>
      <c r="AF16" s="4">
        <f>IF(PlanLayout!AF16="","",PlanLayout!AF16&amp;CHAR(10)&amp;IFERROR(IF(INDEX(tblStellplatz[SAP],MATCH(PlanLayout!AF16,tblStellplatz[Stellplatz],0))="","leer",IF(LEFT(RIGHT(INDEX(tblStellplatz[SAP],MATCH(PlanLayout!AF16,tblStellplatz[Stellplatz],0)),4),1)="0",RIGHT(INDEX(tblStellplatz[SAP],MATCH(PlanLayout!AF16,tblStellplatz[Stellplatz],0)),5),RIGHT(INDEX(tblStellplatz[SAP],MATCH(PlanLayout!AF16,tblStellplatz[Stellplatz],0)),4))),"?"))</f>
        <v/>
      </c>
      <c r="AG16" s="4">
        <f>IF(PlanLayout!AG16="","",PlanLayout!AG16&amp;CHAR(10)&amp;IFERROR(IF(INDEX(tblStellplatz[SAP],MATCH(PlanLayout!AG16,tblStellplatz[Stellplatz],0))="","leer",IF(LEFT(RIGHT(INDEX(tblStellplatz[SAP],MATCH(PlanLayout!AG16,tblStellplatz[Stellplatz],0)),4),1)="0",RIGHT(INDEX(tblStellplatz[SAP],MATCH(PlanLayout!AG16,tblStellplatz[Stellplatz],0)),5),RIGHT(INDEX(tblStellplatz[SAP],MATCH(PlanLayout!AG16,tblStellplatz[Stellplatz],0)),4))),"?"))</f>
        <v/>
      </c>
      <c r="AH16" s="4">
        <f>IF(PlanLayout!AH16="","",PlanLayout!AH16&amp;CHAR(10)&amp;IFERROR(IF(INDEX(tblStellplatz[SAP],MATCH(PlanLayout!AH16,tblStellplatz[Stellplatz],0))="","leer",IF(LEFT(RIGHT(INDEX(tblStellplatz[SAP],MATCH(PlanLayout!AH16,tblStellplatz[Stellplatz],0)),4),1)="0",RIGHT(INDEX(tblStellplatz[SAP],MATCH(PlanLayout!AH16,tblStellplatz[Stellplatz],0)),5),RIGHT(INDEX(tblStellplatz[SAP],MATCH(PlanLayout!AH16,tblStellplatz[Stellplatz],0)),4))),"?"))</f>
        <v/>
      </c>
      <c r="AI16" s="4">
        <f>IF(PlanLayout!AI16="","",PlanLayout!AI16&amp;CHAR(10)&amp;IFERROR(IF(INDEX(tblStellplatz[SAP],MATCH(PlanLayout!AI16,tblStellplatz[Stellplatz],0))="","leer",IF(LEFT(RIGHT(INDEX(tblStellplatz[SAP],MATCH(PlanLayout!AI16,tblStellplatz[Stellplatz],0)),4),1)="0",RIGHT(INDEX(tblStellplatz[SAP],MATCH(PlanLayout!AI16,tblStellplatz[Stellplatz],0)),5),RIGHT(INDEX(tblStellplatz[SAP],MATCH(PlanLayout!AI16,tblStellplatz[Stellplatz],0)),4))),"?"))</f>
        <v/>
      </c>
      <c r="AJ16" s="4">
        <f>IF(PlanLayout!AJ16="","",PlanLayout!AJ16&amp;CHAR(10)&amp;IFERROR(IF(INDEX(tblStellplatz[SAP],MATCH(PlanLayout!AJ16,tblStellplatz[Stellplatz],0))="","leer",IF(LEFT(RIGHT(INDEX(tblStellplatz[SAP],MATCH(PlanLayout!AJ16,tblStellplatz[Stellplatz],0)),4),1)="0",RIGHT(INDEX(tblStellplatz[SAP],MATCH(PlanLayout!AJ16,tblStellplatz[Stellplatz],0)),5),RIGHT(INDEX(tblStellplatz[SAP],MATCH(PlanLayout!AJ16,tblStellplatz[Stellplatz],0)),4))),"?"))</f>
        <v/>
      </c>
      <c r="AK16" s="4">
        <f>IF(PlanLayout!AK16="","",PlanLayout!AK16&amp;CHAR(10)&amp;IFERROR(IF(INDEX(tblStellplatz[SAP],MATCH(PlanLayout!AK16,tblStellplatz[Stellplatz],0))="","leer",IF(LEFT(RIGHT(INDEX(tblStellplatz[SAP],MATCH(PlanLayout!AK16,tblStellplatz[Stellplatz],0)),4),1)="0",RIGHT(INDEX(tblStellplatz[SAP],MATCH(PlanLayout!AK16,tblStellplatz[Stellplatz],0)),5),RIGHT(INDEX(tblStellplatz[SAP],MATCH(PlanLayout!AK16,tblStellplatz[Stellplatz],0)),4))),"?"))</f>
        <v/>
      </c>
      <c r="AL16" s="4">
        <f>IF(PlanLayout!AL16="","",PlanLayout!AL16&amp;CHAR(10)&amp;IFERROR(IF(INDEX(tblStellplatz[SAP],MATCH(PlanLayout!AL16,tblStellplatz[Stellplatz],0))="","leer",IF(LEFT(RIGHT(INDEX(tblStellplatz[SAP],MATCH(PlanLayout!AL16,tblStellplatz[Stellplatz],0)),4),1)="0",RIGHT(INDEX(tblStellplatz[SAP],MATCH(PlanLayout!AL16,tblStellplatz[Stellplatz],0)),5),RIGHT(INDEX(tblStellplatz[SAP],MATCH(PlanLayout!AL16,tblStellplatz[Stellplatz],0)),4))),"?"))</f>
        <v/>
      </c>
      <c r="AM16" s="4">
        <f>IF(PlanLayout!AM16="","",PlanLayout!AM16&amp;CHAR(10)&amp;IFERROR(IF(INDEX(tblStellplatz[SAP],MATCH(PlanLayout!AM16,tblStellplatz[Stellplatz],0))="","leer",IF(LEFT(RIGHT(INDEX(tblStellplatz[SAP],MATCH(PlanLayout!AM16,tblStellplatz[Stellplatz],0)),4),1)="0",RIGHT(INDEX(tblStellplatz[SAP],MATCH(PlanLayout!AM16,tblStellplatz[Stellplatz],0)),5),RIGHT(INDEX(tblStellplatz[SAP],MATCH(PlanLayout!AM16,tblStellplatz[Stellplatz],0)),4))),"?"))</f>
        <v/>
      </c>
      <c r="AN16" s="4">
        <f>IF(PlanLayout!AN16="","",PlanLayout!AN16&amp;CHAR(10)&amp;IFERROR(IF(INDEX(tblStellplatz[SAP],MATCH(PlanLayout!AN16,tblStellplatz[Stellplatz],0))="","leer",IF(LEFT(RIGHT(INDEX(tblStellplatz[SAP],MATCH(PlanLayout!AN16,tblStellplatz[Stellplatz],0)),4),1)="0",RIGHT(INDEX(tblStellplatz[SAP],MATCH(PlanLayout!AN16,tblStellplatz[Stellplatz],0)),5),RIGHT(INDEX(tblStellplatz[SAP],MATCH(PlanLayout!AN16,tblStellplatz[Stellplatz],0)),4))),"?"))</f>
        <v/>
      </c>
      <c r="AO16" s="4">
        <f>IF(PlanLayout!AO16="","",PlanLayout!AO16&amp;CHAR(10)&amp;IFERROR(IF(INDEX(tblStellplatz[SAP],MATCH(PlanLayout!AO16,tblStellplatz[Stellplatz],0))="","leer",IF(LEFT(RIGHT(INDEX(tblStellplatz[SAP],MATCH(PlanLayout!AO16,tblStellplatz[Stellplatz],0)),4),1)="0",RIGHT(INDEX(tblStellplatz[SAP],MATCH(PlanLayout!AO16,tblStellplatz[Stellplatz],0)),5),RIGHT(INDEX(tblStellplatz[SAP],MATCH(PlanLayout!AO16,tblStellplatz[Stellplatz],0)),4))),"?"))</f>
        <v/>
      </c>
    </row>
    <row r="17" ht="30" customHeight="1">
      <c r="B17" s="4">
        <f>IF(PlanLayout!B17="","",PlanLayout!B17&amp;CHAR(10)&amp;IFERROR(IF(INDEX(tblStellplatz[SAP],MATCH(PlanLayout!B17,tblStellplatz[Stellplatz],0))="","leer",IF(LEFT(RIGHT(INDEX(tblStellplatz[SAP],MATCH(PlanLayout!B17,tblStellplatz[Stellplatz],0)),4),1)="0",RIGHT(INDEX(tblStellplatz[SAP],MATCH(PlanLayout!B17,tblStellplatz[Stellplatz],0)),5),RIGHT(INDEX(tblStellplatz[SAP],MATCH(PlanLayout!B17,tblStellplatz[Stellplatz],0)),4))),"?"))</f>
        <v/>
      </c>
      <c r="C17" s="4">
        <f>IF(PlanLayout!C17="","",PlanLayout!C17&amp;CHAR(10)&amp;IFERROR(IF(INDEX(tblStellplatz[SAP],MATCH(PlanLayout!C17,tblStellplatz[Stellplatz],0))="","leer",IF(LEFT(RIGHT(INDEX(tblStellplatz[SAP],MATCH(PlanLayout!C17,tblStellplatz[Stellplatz],0)),4),1)="0",RIGHT(INDEX(tblStellplatz[SAP],MATCH(PlanLayout!C17,tblStellplatz[Stellplatz],0)),5),RIGHT(INDEX(tblStellplatz[SAP],MATCH(PlanLayout!C17,tblStellplatz[Stellplatz],0)),4))),"?"))</f>
        <v/>
      </c>
      <c r="D17" s="4">
        <f>IF(PlanLayout!D17="","",PlanLayout!D17&amp;CHAR(10)&amp;IFERROR(IF(INDEX(tblStellplatz[SAP],MATCH(PlanLayout!D17,tblStellplatz[Stellplatz],0))="","leer",IF(LEFT(RIGHT(INDEX(tblStellplatz[SAP],MATCH(PlanLayout!D17,tblStellplatz[Stellplatz],0)),4),1)="0",RIGHT(INDEX(tblStellplatz[SAP],MATCH(PlanLayout!D17,tblStellplatz[Stellplatz],0)),5),RIGHT(INDEX(tblStellplatz[SAP],MATCH(PlanLayout!D17,tblStellplatz[Stellplatz],0)),4))),"?"))</f>
        <v/>
      </c>
      <c r="E17" s="4">
        <f>IF(PlanLayout!E17="","",PlanLayout!E17&amp;CHAR(10)&amp;IFERROR(IF(INDEX(tblStellplatz[SAP],MATCH(PlanLayout!E17,tblStellplatz[Stellplatz],0))="","leer",IF(LEFT(RIGHT(INDEX(tblStellplatz[SAP],MATCH(PlanLayout!E17,tblStellplatz[Stellplatz],0)),4),1)="0",RIGHT(INDEX(tblStellplatz[SAP],MATCH(PlanLayout!E17,tblStellplatz[Stellplatz],0)),5),RIGHT(INDEX(tblStellplatz[SAP],MATCH(PlanLayout!E17,tblStellplatz[Stellplatz],0)),4))),"?"))</f>
        <v/>
      </c>
      <c r="F17" s="4">
        <f>IF(PlanLayout!F17="","",PlanLayout!F17&amp;CHAR(10)&amp;IFERROR(IF(INDEX(tblStellplatz[SAP],MATCH(PlanLayout!F17,tblStellplatz[Stellplatz],0))="","leer",IF(LEFT(RIGHT(INDEX(tblStellplatz[SAP],MATCH(PlanLayout!F17,tblStellplatz[Stellplatz],0)),4),1)="0",RIGHT(INDEX(tblStellplatz[SAP],MATCH(PlanLayout!F17,tblStellplatz[Stellplatz],0)),5),RIGHT(INDEX(tblStellplatz[SAP],MATCH(PlanLayout!F17,tblStellplatz[Stellplatz],0)),4))),"?"))</f>
        <v/>
      </c>
      <c r="G17" s="4">
        <f>IF(PlanLayout!G17="","",PlanLayout!G17&amp;CHAR(10)&amp;IFERROR(IF(INDEX(tblStellplatz[SAP],MATCH(PlanLayout!G17,tblStellplatz[Stellplatz],0))="","leer",IF(LEFT(RIGHT(INDEX(tblStellplatz[SAP],MATCH(PlanLayout!G17,tblStellplatz[Stellplatz],0)),4),1)="0",RIGHT(INDEX(tblStellplatz[SAP],MATCH(PlanLayout!G17,tblStellplatz[Stellplatz],0)),5),RIGHT(INDEX(tblStellplatz[SAP],MATCH(PlanLayout!G17,tblStellplatz[Stellplatz],0)),4))),"?"))</f>
        <v/>
      </c>
      <c r="H17" s="4">
        <f>IF(PlanLayout!H17="","",PlanLayout!H17&amp;CHAR(10)&amp;IFERROR(IF(INDEX(tblStellplatz[SAP],MATCH(PlanLayout!H17,tblStellplatz[Stellplatz],0))="","leer",IF(LEFT(RIGHT(INDEX(tblStellplatz[SAP],MATCH(PlanLayout!H17,tblStellplatz[Stellplatz],0)),4),1)="0",RIGHT(INDEX(tblStellplatz[SAP],MATCH(PlanLayout!H17,tblStellplatz[Stellplatz],0)),5),RIGHT(INDEX(tblStellplatz[SAP],MATCH(PlanLayout!H17,tblStellplatz[Stellplatz],0)),4))),"?"))</f>
        <v/>
      </c>
      <c r="I17" s="4">
        <f>IF(PlanLayout!I17="","",PlanLayout!I17&amp;CHAR(10)&amp;IFERROR(IF(INDEX(tblStellplatz[SAP],MATCH(PlanLayout!I17,tblStellplatz[Stellplatz],0))="","leer",IF(LEFT(RIGHT(INDEX(tblStellplatz[SAP],MATCH(PlanLayout!I17,tblStellplatz[Stellplatz],0)),4),1)="0",RIGHT(INDEX(tblStellplatz[SAP],MATCH(PlanLayout!I17,tblStellplatz[Stellplatz],0)),5),RIGHT(INDEX(tblStellplatz[SAP],MATCH(PlanLayout!I17,tblStellplatz[Stellplatz],0)),4))),"?"))</f>
        <v/>
      </c>
      <c r="J17" s="4">
        <f>IF(PlanLayout!J17="","",PlanLayout!J17&amp;CHAR(10)&amp;IFERROR(IF(INDEX(tblStellplatz[SAP],MATCH(PlanLayout!J17,tblStellplatz[Stellplatz],0))="","leer",IF(LEFT(RIGHT(INDEX(tblStellplatz[SAP],MATCH(PlanLayout!J17,tblStellplatz[Stellplatz],0)),4),1)="0",RIGHT(INDEX(tblStellplatz[SAP],MATCH(PlanLayout!J17,tblStellplatz[Stellplatz],0)),5),RIGHT(INDEX(tblStellplatz[SAP],MATCH(PlanLayout!J17,tblStellplatz[Stellplatz],0)),4))),"?"))</f>
        <v/>
      </c>
      <c r="K17" s="4">
        <f>IF(PlanLayout!K17="","",PlanLayout!K17&amp;CHAR(10)&amp;IFERROR(IF(INDEX(tblStellplatz[SAP],MATCH(PlanLayout!K17,tblStellplatz[Stellplatz],0))="","leer",IF(LEFT(RIGHT(INDEX(tblStellplatz[SAP],MATCH(PlanLayout!K17,tblStellplatz[Stellplatz],0)),4),1)="0",RIGHT(INDEX(tblStellplatz[SAP],MATCH(PlanLayout!K17,tblStellplatz[Stellplatz],0)),5),RIGHT(INDEX(tblStellplatz[SAP],MATCH(PlanLayout!K17,tblStellplatz[Stellplatz],0)),4))),"?"))</f>
        <v/>
      </c>
      <c r="L17" s="4">
        <f>IF(PlanLayout!L17="","",PlanLayout!L17&amp;CHAR(10)&amp;IFERROR(IF(INDEX(tblStellplatz[SAP],MATCH(PlanLayout!L17,tblStellplatz[Stellplatz],0))="","leer",IF(LEFT(RIGHT(INDEX(tblStellplatz[SAP],MATCH(PlanLayout!L17,tblStellplatz[Stellplatz],0)),4),1)="0",RIGHT(INDEX(tblStellplatz[SAP],MATCH(PlanLayout!L17,tblStellplatz[Stellplatz],0)),5),RIGHT(INDEX(tblStellplatz[SAP],MATCH(PlanLayout!L17,tblStellplatz[Stellplatz],0)),4))),"?"))</f>
        <v/>
      </c>
      <c r="M17" s="4">
        <f>IF(PlanLayout!M17="","",PlanLayout!M17&amp;CHAR(10)&amp;IFERROR(IF(INDEX(tblStellplatz[SAP],MATCH(PlanLayout!M17,tblStellplatz[Stellplatz],0))="","leer",IF(LEFT(RIGHT(INDEX(tblStellplatz[SAP],MATCH(PlanLayout!M17,tblStellplatz[Stellplatz],0)),4),1)="0",RIGHT(INDEX(tblStellplatz[SAP],MATCH(PlanLayout!M17,tblStellplatz[Stellplatz],0)),5),RIGHT(INDEX(tblStellplatz[SAP],MATCH(PlanLayout!M17,tblStellplatz[Stellplatz],0)),4))),"?"))</f>
        <v/>
      </c>
      <c r="N17" s="4">
        <f>IF(PlanLayout!N17="","",PlanLayout!N17&amp;CHAR(10)&amp;IFERROR(IF(INDEX(tblStellplatz[SAP],MATCH(PlanLayout!N17,tblStellplatz[Stellplatz],0))="","leer",IF(LEFT(RIGHT(INDEX(tblStellplatz[SAP],MATCH(PlanLayout!N17,tblStellplatz[Stellplatz],0)),4),1)="0",RIGHT(INDEX(tblStellplatz[SAP],MATCH(PlanLayout!N17,tblStellplatz[Stellplatz],0)),5),RIGHT(INDEX(tblStellplatz[SAP],MATCH(PlanLayout!N17,tblStellplatz[Stellplatz],0)),4))),"?"))</f>
        <v/>
      </c>
      <c r="O17" s="4">
        <f>IF(PlanLayout!O17="","",PlanLayout!O17&amp;CHAR(10)&amp;IFERROR(IF(INDEX(tblStellplatz[SAP],MATCH(PlanLayout!O17,tblStellplatz[Stellplatz],0))="","leer",IF(LEFT(RIGHT(INDEX(tblStellplatz[SAP],MATCH(PlanLayout!O17,tblStellplatz[Stellplatz],0)),4),1)="0",RIGHT(INDEX(tblStellplatz[SAP],MATCH(PlanLayout!O17,tblStellplatz[Stellplatz],0)),5),RIGHT(INDEX(tblStellplatz[SAP],MATCH(PlanLayout!O17,tblStellplatz[Stellplatz],0)),4))),"?"))</f>
        <v/>
      </c>
      <c r="P17" s="4">
        <f>IF(PlanLayout!P17="","",PlanLayout!P17&amp;CHAR(10)&amp;IFERROR(IF(INDEX(tblStellplatz[SAP],MATCH(PlanLayout!P17,tblStellplatz[Stellplatz],0))="","leer",IF(LEFT(RIGHT(INDEX(tblStellplatz[SAP],MATCH(PlanLayout!P17,tblStellplatz[Stellplatz],0)),4),1)="0",RIGHT(INDEX(tblStellplatz[SAP],MATCH(PlanLayout!P17,tblStellplatz[Stellplatz],0)),5),RIGHT(INDEX(tblStellplatz[SAP],MATCH(PlanLayout!P17,tblStellplatz[Stellplatz],0)),4))),"?"))</f>
        <v/>
      </c>
      <c r="Q17" s="4">
        <f>IF(PlanLayout!Q17="","",PlanLayout!Q17&amp;CHAR(10)&amp;IFERROR(IF(INDEX(tblStellplatz[SAP],MATCH(PlanLayout!Q17,tblStellplatz[Stellplatz],0))="","leer",IF(LEFT(RIGHT(INDEX(tblStellplatz[SAP],MATCH(PlanLayout!Q17,tblStellplatz[Stellplatz],0)),4),1)="0",RIGHT(INDEX(tblStellplatz[SAP],MATCH(PlanLayout!Q17,tblStellplatz[Stellplatz],0)),5),RIGHT(INDEX(tblStellplatz[SAP],MATCH(PlanLayout!Q17,tblStellplatz[Stellplatz],0)),4))),"?"))</f>
        <v/>
      </c>
      <c r="R17" s="4">
        <f>IF(PlanLayout!R17="","",PlanLayout!R17&amp;CHAR(10)&amp;IFERROR(IF(INDEX(tblStellplatz[SAP],MATCH(PlanLayout!R17,tblStellplatz[Stellplatz],0))="","leer",IF(LEFT(RIGHT(INDEX(tblStellplatz[SAP],MATCH(PlanLayout!R17,tblStellplatz[Stellplatz],0)),4),1)="0",RIGHT(INDEX(tblStellplatz[SAP],MATCH(PlanLayout!R17,tblStellplatz[Stellplatz],0)),5),RIGHT(INDEX(tblStellplatz[SAP],MATCH(PlanLayout!R17,tblStellplatz[Stellplatz],0)),4))),"?"))</f>
        <v/>
      </c>
      <c r="S17" s="4">
        <f>IF(PlanLayout!S17="","",PlanLayout!S17&amp;CHAR(10)&amp;IFERROR(IF(INDEX(tblStellplatz[SAP],MATCH(PlanLayout!S17,tblStellplatz[Stellplatz],0))="","leer",IF(LEFT(RIGHT(INDEX(tblStellplatz[SAP],MATCH(PlanLayout!S17,tblStellplatz[Stellplatz],0)),4),1)="0",RIGHT(INDEX(tblStellplatz[SAP],MATCH(PlanLayout!S17,tblStellplatz[Stellplatz],0)),5),RIGHT(INDEX(tblStellplatz[SAP],MATCH(PlanLayout!S17,tblStellplatz[Stellplatz],0)),4))),"?"))</f>
        <v/>
      </c>
      <c r="T17" s="4">
        <f>IF(PlanLayout!T17="","",PlanLayout!T17&amp;CHAR(10)&amp;IFERROR(IF(INDEX(tblStellplatz[SAP],MATCH(PlanLayout!T17,tblStellplatz[Stellplatz],0))="","leer",IF(LEFT(RIGHT(INDEX(tblStellplatz[SAP],MATCH(PlanLayout!T17,tblStellplatz[Stellplatz],0)),4),1)="0",RIGHT(INDEX(tblStellplatz[SAP],MATCH(PlanLayout!T17,tblStellplatz[Stellplatz],0)),5),RIGHT(INDEX(tblStellplatz[SAP],MATCH(PlanLayout!T17,tblStellplatz[Stellplatz],0)),4))),"?"))</f>
        <v/>
      </c>
      <c r="U17" s="4">
        <f>IF(PlanLayout!U17="","",PlanLayout!U17&amp;CHAR(10)&amp;IFERROR(IF(INDEX(tblStellplatz[SAP],MATCH(PlanLayout!U17,tblStellplatz[Stellplatz],0))="","leer",IF(LEFT(RIGHT(INDEX(tblStellplatz[SAP],MATCH(PlanLayout!U17,tblStellplatz[Stellplatz],0)),4),1)="0",RIGHT(INDEX(tblStellplatz[SAP],MATCH(PlanLayout!U17,tblStellplatz[Stellplatz],0)),5),RIGHT(INDEX(tblStellplatz[SAP],MATCH(PlanLayout!U17,tblStellplatz[Stellplatz],0)),4))),"?"))</f>
        <v/>
      </c>
      <c r="V17" s="4">
        <f>IF(PlanLayout!V17="","",PlanLayout!V17&amp;CHAR(10)&amp;IFERROR(IF(INDEX(tblStellplatz[SAP],MATCH(PlanLayout!V17,tblStellplatz[Stellplatz],0))="","leer",IF(LEFT(RIGHT(INDEX(tblStellplatz[SAP],MATCH(PlanLayout!V17,tblStellplatz[Stellplatz],0)),4),1)="0",RIGHT(INDEX(tblStellplatz[SAP],MATCH(PlanLayout!V17,tblStellplatz[Stellplatz],0)),5),RIGHT(INDEX(tblStellplatz[SAP],MATCH(PlanLayout!V17,tblStellplatz[Stellplatz],0)),4))),"?"))</f>
        <v/>
      </c>
      <c r="W17" s="4">
        <f>IF(PlanLayout!W17="","",PlanLayout!W17&amp;CHAR(10)&amp;IFERROR(IF(INDEX(tblStellplatz[SAP],MATCH(PlanLayout!W17,tblStellplatz[Stellplatz],0))="","leer",IF(LEFT(RIGHT(INDEX(tblStellplatz[SAP],MATCH(PlanLayout!W17,tblStellplatz[Stellplatz],0)),4),1)="0",RIGHT(INDEX(tblStellplatz[SAP],MATCH(PlanLayout!W17,tblStellplatz[Stellplatz],0)),5),RIGHT(INDEX(tblStellplatz[SAP],MATCH(PlanLayout!W17,tblStellplatz[Stellplatz],0)),4))),"?"))</f>
        <v/>
      </c>
      <c r="X17" s="4">
        <f>IF(PlanLayout!X17="","",PlanLayout!X17&amp;CHAR(10)&amp;IFERROR(IF(INDEX(tblStellplatz[SAP],MATCH(PlanLayout!X17,tblStellplatz[Stellplatz],0))="","leer",IF(LEFT(RIGHT(INDEX(tblStellplatz[SAP],MATCH(PlanLayout!X17,tblStellplatz[Stellplatz],0)),4),1)="0",RIGHT(INDEX(tblStellplatz[SAP],MATCH(PlanLayout!X17,tblStellplatz[Stellplatz],0)),5),RIGHT(INDEX(tblStellplatz[SAP],MATCH(PlanLayout!X17,tblStellplatz[Stellplatz],0)),4))),"?"))</f>
        <v/>
      </c>
      <c r="Y17" s="4">
        <f>IF(PlanLayout!Y17="","",PlanLayout!Y17&amp;CHAR(10)&amp;IFERROR(IF(INDEX(tblStellplatz[SAP],MATCH(PlanLayout!Y17,tblStellplatz[Stellplatz],0))="","leer",IF(LEFT(RIGHT(INDEX(tblStellplatz[SAP],MATCH(PlanLayout!Y17,tblStellplatz[Stellplatz],0)),4),1)="0",RIGHT(INDEX(tblStellplatz[SAP],MATCH(PlanLayout!Y17,tblStellplatz[Stellplatz],0)),5),RIGHT(INDEX(tblStellplatz[SAP],MATCH(PlanLayout!Y17,tblStellplatz[Stellplatz],0)),4))),"?"))</f>
        <v/>
      </c>
      <c r="Z17" s="4">
        <f>IF(PlanLayout!Z17="","",PlanLayout!Z17&amp;CHAR(10)&amp;IFERROR(IF(INDEX(tblStellplatz[SAP],MATCH(PlanLayout!Z17,tblStellplatz[Stellplatz],0))="","leer",IF(LEFT(RIGHT(INDEX(tblStellplatz[SAP],MATCH(PlanLayout!Z17,tblStellplatz[Stellplatz],0)),4),1)="0",RIGHT(INDEX(tblStellplatz[SAP],MATCH(PlanLayout!Z17,tblStellplatz[Stellplatz],0)),5),RIGHT(INDEX(tblStellplatz[SAP],MATCH(PlanLayout!Z17,tblStellplatz[Stellplatz],0)),4))),"?"))</f>
        <v/>
      </c>
      <c r="AA17" s="4">
        <f>IF(PlanLayout!AA17="","",PlanLayout!AA17&amp;CHAR(10)&amp;IFERROR(IF(INDEX(tblStellplatz[SAP],MATCH(PlanLayout!AA17,tblStellplatz[Stellplatz],0))="","leer",IF(LEFT(RIGHT(INDEX(tblStellplatz[SAP],MATCH(PlanLayout!AA17,tblStellplatz[Stellplatz],0)),4),1)="0",RIGHT(INDEX(tblStellplatz[SAP],MATCH(PlanLayout!AA17,tblStellplatz[Stellplatz],0)),5),RIGHT(INDEX(tblStellplatz[SAP],MATCH(PlanLayout!AA17,tblStellplatz[Stellplatz],0)),4))),"?"))</f>
        <v/>
      </c>
      <c r="AB17" s="4">
        <f>IF(PlanLayout!AB17="","",PlanLayout!AB17&amp;CHAR(10)&amp;IFERROR(IF(INDEX(tblStellplatz[SAP],MATCH(PlanLayout!AB17,tblStellplatz[Stellplatz],0))="","leer",IF(LEFT(RIGHT(INDEX(tblStellplatz[SAP],MATCH(PlanLayout!AB17,tblStellplatz[Stellplatz],0)),4),1)="0",RIGHT(INDEX(tblStellplatz[SAP],MATCH(PlanLayout!AB17,tblStellplatz[Stellplatz],0)),5),RIGHT(INDEX(tblStellplatz[SAP],MATCH(PlanLayout!AB17,tblStellplatz[Stellplatz],0)),4))),"?"))</f>
        <v/>
      </c>
      <c r="AC17" s="4">
        <f>IF(PlanLayout!AC17="","",PlanLayout!AC17&amp;CHAR(10)&amp;IFERROR(IF(INDEX(tblStellplatz[SAP],MATCH(PlanLayout!AC17,tblStellplatz[Stellplatz],0))="","leer",IF(LEFT(RIGHT(INDEX(tblStellplatz[SAP],MATCH(PlanLayout!AC17,tblStellplatz[Stellplatz],0)),4),1)="0",RIGHT(INDEX(tblStellplatz[SAP],MATCH(PlanLayout!AC17,tblStellplatz[Stellplatz],0)),5),RIGHT(INDEX(tblStellplatz[SAP],MATCH(PlanLayout!AC17,tblStellplatz[Stellplatz],0)),4))),"?"))</f>
        <v/>
      </c>
      <c r="AD17" s="4">
        <f>IF(PlanLayout!AD17="","",PlanLayout!AD17&amp;CHAR(10)&amp;IFERROR(IF(INDEX(tblStellplatz[SAP],MATCH(PlanLayout!AD17,tblStellplatz[Stellplatz],0))="","leer",IF(LEFT(RIGHT(INDEX(tblStellplatz[SAP],MATCH(PlanLayout!AD17,tblStellplatz[Stellplatz],0)),4),1)="0",RIGHT(INDEX(tblStellplatz[SAP],MATCH(PlanLayout!AD17,tblStellplatz[Stellplatz],0)),5),RIGHT(INDEX(tblStellplatz[SAP],MATCH(PlanLayout!AD17,tblStellplatz[Stellplatz],0)),4))),"?"))</f>
        <v/>
      </c>
      <c r="AE17" s="4">
        <f>IF(PlanLayout!AE17="","",PlanLayout!AE17&amp;CHAR(10)&amp;IFERROR(IF(INDEX(tblStellplatz[SAP],MATCH(PlanLayout!AE17,tblStellplatz[Stellplatz],0))="","leer",IF(LEFT(RIGHT(INDEX(tblStellplatz[SAP],MATCH(PlanLayout!AE17,tblStellplatz[Stellplatz],0)),4),1)="0",RIGHT(INDEX(tblStellplatz[SAP],MATCH(PlanLayout!AE17,tblStellplatz[Stellplatz],0)),5),RIGHT(INDEX(tblStellplatz[SAP],MATCH(PlanLayout!AE17,tblStellplatz[Stellplatz],0)),4))),"?"))</f>
        <v/>
      </c>
      <c r="AF17" s="4">
        <f>IF(PlanLayout!AF17="","",PlanLayout!AF17&amp;CHAR(10)&amp;IFERROR(IF(INDEX(tblStellplatz[SAP],MATCH(PlanLayout!AF17,tblStellplatz[Stellplatz],0))="","leer",IF(LEFT(RIGHT(INDEX(tblStellplatz[SAP],MATCH(PlanLayout!AF17,tblStellplatz[Stellplatz],0)),4),1)="0",RIGHT(INDEX(tblStellplatz[SAP],MATCH(PlanLayout!AF17,tblStellplatz[Stellplatz],0)),5),RIGHT(INDEX(tblStellplatz[SAP],MATCH(PlanLayout!AF17,tblStellplatz[Stellplatz],0)),4))),"?"))</f>
        <v/>
      </c>
      <c r="AG17" s="4">
        <f>IF(PlanLayout!AG17="","",PlanLayout!AG17&amp;CHAR(10)&amp;IFERROR(IF(INDEX(tblStellplatz[SAP],MATCH(PlanLayout!AG17,tblStellplatz[Stellplatz],0))="","leer",IF(LEFT(RIGHT(INDEX(tblStellplatz[SAP],MATCH(PlanLayout!AG17,tblStellplatz[Stellplatz],0)),4),1)="0",RIGHT(INDEX(tblStellplatz[SAP],MATCH(PlanLayout!AG17,tblStellplatz[Stellplatz],0)),5),RIGHT(INDEX(tblStellplatz[SAP],MATCH(PlanLayout!AG17,tblStellplatz[Stellplatz],0)),4))),"?"))</f>
        <v/>
      </c>
      <c r="AH17" s="4">
        <f>IF(PlanLayout!AH17="","",PlanLayout!AH17&amp;CHAR(10)&amp;IFERROR(IF(INDEX(tblStellplatz[SAP],MATCH(PlanLayout!AH17,tblStellplatz[Stellplatz],0))="","leer",IF(LEFT(RIGHT(INDEX(tblStellplatz[SAP],MATCH(PlanLayout!AH17,tblStellplatz[Stellplatz],0)),4),1)="0",RIGHT(INDEX(tblStellplatz[SAP],MATCH(PlanLayout!AH17,tblStellplatz[Stellplatz],0)),5),RIGHT(INDEX(tblStellplatz[SAP],MATCH(PlanLayout!AH17,tblStellplatz[Stellplatz],0)),4))),"?"))</f>
        <v/>
      </c>
      <c r="AI17" s="4">
        <f>IF(PlanLayout!AI17="","",PlanLayout!AI17&amp;CHAR(10)&amp;IFERROR(IF(INDEX(tblStellplatz[SAP],MATCH(PlanLayout!AI17,tblStellplatz[Stellplatz],0))="","leer",IF(LEFT(RIGHT(INDEX(tblStellplatz[SAP],MATCH(PlanLayout!AI17,tblStellplatz[Stellplatz],0)),4),1)="0",RIGHT(INDEX(tblStellplatz[SAP],MATCH(PlanLayout!AI17,tblStellplatz[Stellplatz],0)),5),RIGHT(INDEX(tblStellplatz[SAP],MATCH(PlanLayout!AI17,tblStellplatz[Stellplatz],0)),4))),"?"))</f>
        <v/>
      </c>
      <c r="AJ17" s="4">
        <f>IF(PlanLayout!AJ17="","",PlanLayout!AJ17&amp;CHAR(10)&amp;IFERROR(IF(INDEX(tblStellplatz[SAP],MATCH(PlanLayout!AJ17,tblStellplatz[Stellplatz],0))="","leer",IF(LEFT(RIGHT(INDEX(tblStellplatz[SAP],MATCH(PlanLayout!AJ17,tblStellplatz[Stellplatz],0)),4),1)="0",RIGHT(INDEX(tblStellplatz[SAP],MATCH(PlanLayout!AJ17,tblStellplatz[Stellplatz],0)),5),RIGHT(INDEX(tblStellplatz[SAP],MATCH(PlanLayout!AJ17,tblStellplatz[Stellplatz],0)),4))),"?"))</f>
        <v/>
      </c>
      <c r="AK17" s="4">
        <f>IF(PlanLayout!AK17="","",PlanLayout!AK17&amp;CHAR(10)&amp;IFERROR(IF(INDEX(tblStellplatz[SAP],MATCH(PlanLayout!AK17,tblStellplatz[Stellplatz],0))="","leer",IF(LEFT(RIGHT(INDEX(tblStellplatz[SAP],MATCH(PlanLayout!AK17,tblStellplatz[Stellplatz],0)),4),1)="0",RIGHT(INDEX(tblStellplatz[SAP],MATCH(PlanLayout!AK17,tblStellplatz[Stellplatz],0)),5),RIGHT(INDEX(tblStellplatz[SAP],MATCH(PlanLayout!AK17,tblStellplatz[Stellplatz],0)),4))),"?"))</f>
        <v/>
      </c>
      <c r="AL17" s="4">
        <f>IF(PlanLayout!AL17="","",PlanLayout!AL17&amp;CHAR(10)&amp;IFERROR(IF(INDEX(tblStellplatz[SAP],MATCH(PlanLayout!AL17,tblStellplatz[Stellplatz],0))="","leer",IF(LEFT(RIGHT(INDEX(tblStellplatz[SAP],MATCH(PlanLayout!AL17,tblStellplatz[Stellplatz],0)),4),1)="0",RIGHT(INDEX(tblStellplatz[SAP],MATCH(PlanLayout!AL17,tblStellplatz[Stellplatz],0)),5),RIGHT(INDEX(tblStellplatz[SAP],MATCH(PlanLayout!AL17,tblStellplatz[Stellplatz],0)),4))),"?"))</f>
        <v/>
      </c>
      <c r="AM17" s="4">
        <f>IF(PlanLayout!AM17="","",PlanLayout!AM17&amp;CHAR(10)&amp;IFERROR(IF(INDEX(tblStellplatz[SAP],MATCH(PlanLayout!AM17,tblStellplatz[Stellplatz],0))="","leer",IF(LEFT(RIGHT(INDEX(tblStellplatz[SAP],MATCH(PlanLayout!AM17,tblStellplatz[Stellplatz],0)),4),1)="0",RIGHT(INDEX(tblStellplatz[SAP],MATCH(PlanLayout!AM17,tblStellplatz[Stellplatz],0)),5),RIGHT(INDEX(tblStellplatz[SAP],MATCH(PlanLayout!AM17,tblStellplatz[Stellplatz],0)),4))),"?"))</f>
        <v/>
      </c>
      <c r="AN17" s="4">
        <f>IF(PlanLayout!AN17="","",PlanLayout!AN17&amp;CHAR(10)&amp;IFERROR(IF(INDEX(tblStellplatz[SAP],MATCH(PlanLayout!AN17,tblStellplatz[Stellplatz],0))="","leer",IF(LEFT(RIGHT(INDEX(tblStellplatz[SAP],MATCH(PlanLayout!AN17,tblStellplatz[Stellplatz],0)),4),1)="0",RIGHT(INDEX(tblStellplatz[SAP],MATCH(PlanLayout!AN17,tblStellplatz[Stellplatz],0)),5),RIGHT(INDEX(tblStellplatz[SAP],MATCH(PlanLayout!AN17,tblStellplatz[Stellplatz],0)),4))),"?"))</f>
        <v/>
      </c>
      <c r="AO17" s="4">
        <f>IF(PlanLayout!AO17="","",PlanLayout!AO17&amp;CHAR(10)&amp;IFERROR(IF(INDEX(tblStellplatz[SAP],MATCH(PlanLayout!AO17,tblStellplatz[Stellplatz],0))="","leer",IF(LEFT(RIGHT(INDEX(tblStellplatz[SAP],MATCH(PlanLayout!AO17,tblStellplatz[Stellplatz],0)),4),1)="0",RIGHT(INDEX(tblStellplatz[SAP],MATCH(PlanLayout!AO17,tblStellplatz[Stellplatz],0)),5),RIGHT(INDEX(tblStellplatz[SAP],MATCH(PlanLayout!AO17,tblStellplatz[Stellplatz],0)),4))),"?"))</f>
        <v/>
      </c>
    </row>
    <row r="18" ht="30" customHeight="1">
      <c r="B18" s="4">
        <f>IF(PlanLayout!B18="","",PlanLayout!B18&amp;CHAR(10)&amp;IFERROR(IF(INDEX(tblStellplatz[SAP],MATCH(PlanLayout!B18,tblStellplatz[Stellplatz],0))="","leer",IF(LEFT(RIGHT(INDEX(tblStellplatz[SAP],MATCH(PlanLayout!B18,tblStellplatz[Stellplatz],0)),4),1)="0",RIGHT(INDEX(tblStellplatz[SAP],MATCH(PlanLayout!B18,tblStellplatz[Stellplatz],0)),5),RIGHT(INDEX(tblStellplatz[SAP],MATCH(PlanLayout!B18,tblStellplatz[Stellplatz],0)),4))),"?"))</f>
        <v/>
      </c>
      <c r="C18" s="4">
        <f>IF(PlanLayout!C18="","",PlanLayout!C18&amp;CHAR(10)&amp;IFERROR(IF(INDEX(tblStellplatz[SAP],MATCH(PlanLayout!C18,tblStellplatz[Stellplatz],0))="","leer",IF(LEFT(RIGHT(INDEX(tblStellplatz[SAP],MATCH(PlanLayout!C18,tblStellplatz[Stellplatz],0)),4),1)="0",RIGHT(INDEX(tblStellplatz[SAP],MATCH(PlanLayout!C18,tblStellplatz[Stellplatz],0)),5),RIGHT(INDEX(tblStellplatz[SAP],MATCH(PlanLayout!C18,tblStellplatz[Stellplatz],0)),4))),"?"))</f>
        <v/>
      </c>
      <c r="D18" s="4">
        <f>IF(PlanLayout!D18="","",PlanLayout!D18&amp;CHAR(10)&amp;IFERROR(IF(INDEX(tblStellplatz[SAP],MATCH(PlanLayout!D18,tblStellplatz[Stellplatz],0))="","leer",IF(LEFT(RIGHT(INDEX(tblStellplatz[SAP],MATCH(PlanLayout!D18,tblStellplatz[Stellplatz],0)),4),1)="0",RIGHT(INDEX(tblStellplatz[SAP],MATCH(PlanLayout!D18,tblStellplatz[Stellplatz],0)),5),RIGHT(INDEX(tblStellplatz[SAP],MATCH(PlanLayout!D18,tblStellplatz[Stellplatz],0)),4))),"?"))</f>
        <v/>
      </c>
      <c r="E18" s="4">
        <f>IF(PlanLayout!E18="","",PlanLayout!E18&amp;CHAR(10)&amp;IFERROR(IF(INDEX(tblStellplatz[SAP],MATCH(PlanLayout!E18,tblStellplatz[Stellplatz],0))="","leer",IF(LEFT(RIGHT(INDEX(tblStellplatz[SAP],MATCH(PlanLayout!E18,tblStellplatz[Stellplatz],0)),4),1)="0",RIGHT(INDEX(tblStellplatz[SAP],MATCH(PlanLayout!E18,tblStellplatz[Stellplatz],0)),5),RIGHT(INDEX(tblStellplatz[SAP],MATCH(PlanLayout!E18,tblStellplatz[Stellplatz],0)),4))),"?"))</f>
        <v/>
      </c>
      <c r="F18" s="4">
        <f>IF(PlanLayout!F18="","",PlanLayout!F18&amp;CHAR(10)&amp;IFERROR(IF(INDEX(tblStellplatz[SAP],MATCH(PlanLayout!F18,tblStellplatz[Stellplatz],0))="","leer",IF(LEFT(RIGHT(INDEX(tblStellplatz[SAP],MATCH(PlanLayout!F18,tblStellplatz[Stellplatz],0)),4),1)="0",RIGHT(INDEX(tblStellplatz[SAP],MATCH(PlanLayout!F18,tblStellplatz[Stellplatz],0)),5),RIGHT(INDEX(tblStellplatz[SAP],MATCH(PlanLayout!F18,tblStellplatz[Stellplatz],0)),4))),"?"))</f>
        <v/>
      </c>
      <c r="G18" s="4">
        <f>IF(PlanLayout!G18="","",PlanLayout!G18&amp;CHAR(10)&amp;IFERROR(IF(INDEX(tblStellplatz[SAP],MATCH(PlanLayout!G18,tblStellplatz[Stellplatz],0))="","leer",IF(LEFT(RIGHT(INDEX(tblStellplatz[SAP],MATCH(PlanLayout!G18,tblStellplatz[Stellplatz],0)),4),1)="0",RIGHT(INDEX(tblStellplatz[SAP],MATCH(PlanLayout!G18,tblStellplatz[Stellplatz],0)),5),RIGHT(INDEX(tblStellplatz[SAP],MATCH(PlanLayout!G18,tblStellplatz[Stellplatz],0)),4))),"?"))</f>
        <v/>
      </c>
      <c r="H18" s="4">
        <f>IF(PlanLayout!H18="","",PlanLayout!H18&amp;CHAR(10)&amp;IFERROR(IF(INDEX(tblStellplatz[SAP],MATCH(PlanLayout!H18,tblStellplatz[Stellplatz],0))="","leer",IF(LEFT(RIGHT(INDEX(tblStellplatz[SAP],MATCH(PlanLayout!H18,tblStellplatz[Stellplatz],0)),4),1)="0",RIGHT(INDEX(tblStellplatz[SAP],MATCH(PlanLayout!H18,tblStellplatz[Stellplatz],0)),5),RIGHT(INDEX(tblStellplatz[SAP],MATCH(PlanLayout!H18,tblStellplatz[Stellplatz],0)),4))),"?"))</f>
        <v/>
      </c>
      <c r="I18" s="4">
        <f>IF(PlanLayout!I18="","",PlanLayout!I18&amp;CHAR(10)&amp;IFERROR(IF(INDEX(tblStellplatz[SAP],MATCH(PlanLayout!I18,tblStellplatz[Stellplatz],0))="","leer",IF(LEFT(RIGHT(INDEX(tblStellplatz[SAP],MATCH(PlanLayout!I18,tblStellplatz[Stellplatz],0)),4),1)="0",RIGHT(INDEX(tblStellplatz[SAP],MATCH(PlanLayout!I18,tblStellplatz[Stellplatz],0)),5),RIGHT(INDEX(tblStellplatz[SAP],MATCH(PlanLayout!I18,tblStellplatz[Stellplatz],0)),4))),"?"))</f>
        <v/>
      </c>
      <c r="J18" s="4">
        <f>IF(PlanLayout!J18="","",PlanLayout!J18&amp;CHAR(10)&amp;IFERROR(IF(INDEX(tblStellplatz[SAP],MATCH(PlanLayout!J18,tblStellplatz[Stellplatz],0))="","leer",IF(LEFT(RIGHT(INDEX(tblStellplatz[SAP],MATCH(PlanLayout!J18,tblStellplatz[Stellplatz],0)),4),1)="0",RIGHT(INDEX(tblStellplatz[SAP],MATCH(PlanLayout!J18,tblStellplatz[Stellplatz],0)),5),RIGHT(INDEX(tblStellplatz[SAP],MATCH(PlanLayout!J18,tblStellplatz[Stellplatz],0)),4))),"?"))</f>
        <v/>
      </c>
      <c r="K18" s="4">
        <f>IF(PlanLayout!K18="","",PlanLayout!K18&amp;CHAR(10)&amp;IFERROR(IF(INDEX(tblStellplatz[SAP],MATCH(PlanLayout!K18,tblStellplatz[Stellplatz],0))="","leer",IF(LEFT(RIGHT(INDEX(tblStellplatz[SAP],MATCH(PlanLayout!K18,tblStellplatz[Stellplatz],0)),4),1)="0",RIGHT(INDEX(tblStellplatz[SAP],MATCH(PlanLayout!K18,tblStellplatz[Stellplatz],0)),5),RIGHT(INDEX(tblStellplatz[SAP],MATCH(PlanLayout!K18,tblStellplatz[Stellplatz],0)),4))),"?"))</f>
        <v/>
      </c>
      <c r="L18" s="4">
        <f>IF(PlanLayout!L18="","",PlanLayout!L18&amp;CHAR(10)&amp;IFERROR(IF(INDEX(tblStellplatz[SAP],MATCH(PlanLayout!L18,tblStellplatz[Stellplatz],0))="","leer",IF(LEFT(RIGHT(INDEX(tblStellplatz[SAP],MATCH(PlanLayout!L18,tblStellplatz[Stellplatz],0)),4),1)="0",RIGHT(INDEX(tblStellplatz[SAP],MATCH(PlanLayout!L18,tblStellplatz[Stellplatz],0)),5),RIGHT(INDEX(tblStellplatz[SAP],MATCH(PlanLayout!L18,tblStellplatz[Stellplatz],0)),4))),"?"))</f>
        <v/>
      </c>
      <c r="M18" s="4">
        <f>IF(PlanLayout!M18="","",PlanLayout!M18&amp;CHAR(10)&amp;IFERROR(IF(INDEX(tblStellplatz[SAP],MATCH(PlanLayout!M18,tblStellplatz[Stellplatz],0))="","leer",IF(LEFT(RIGHT(INDEX(tblStellplatz[SAP],MATCH(PlanLayout!M18,tblStellplatz[Stellplatz],0)),4),1)="0",RIGHT(INDEX(tblStellplatz[SAP],MATCH(PlanLayout!M18,tblStellplatz[Stellplatz],0)),5),RIGHT(INDEX(tblStellplatz[SAP],MATCH(PlanLayout!M18,tblStellplatz[Stellplatz],0)),4))),"?"))</f>
        <v/>
      </c>
      <c r="N18" s="4">
        <f>IF(PlanLayout!N18="","",PlanLayout!N18&amp;CHAR(10)&amp;IFERROR(IF(INDEX(tblStellplatz[SAP],MATCH(PlanLayout!N18,tblStellplatz[Stellplatz],0))="","leer",IF(LEFT(RIGHT(INDEX(tblStellplatz[SAP],MATCH(PlanLayout!N18,tblStellplatz[Stellplatz],0)),4),1)="0",RIGHT(INDEX(tblStellplatz[SAP],MATCH(PlanLayout!N18,tblStellplatz[Stellplatz],0)),5),RIGHT(INDEX(tblStellplatz[SAP],MATCH(PlanLayout!N18,tblStellplatz[Stellplatz],0)),4))),"?"))</f>
        <v/>
      </c>
      <c r="O18" s="4">
        <f>IF(PlanLayout!O18="","",PlanLayout!O18&amp;CHAR(10)&amp;IFERROR(IF(INDEX(tblStellplatz[SAP],MATCH(PlanLayout!O18,tblStellplatz[Stellplatz],0))="","leer",IF(LEFT(RIGHT(INDEX(tblStellplatz[SAP],MATCH(PlanLayout!O18,tblStellplatz[Stellplatz],0)),4),1)="0",RIGHT(INDEX(tblStellplatz[SAP],MATCH(PlanLayout!O18,tblStellplatz[Stellplatz],0)),5),RIGHT(INDEX(tblStellplatz[SAP],MATCH(PlanLayout!O18,tblStellplatz[Stellplatz],0)),4))),"?"))</f>
        <v/>
      </c>
      <c r="P18" s="4">
        <f>IF(PlanLayout!P18="","",PlanLayout!P18&amp;CHAR(10)&amp;IFERROR(IF(INDEX(tblStellplatz[SAP],MATCH(PlanLayout!P18,tblStellplatz[Stellplatz],0))="","leer",IF(LEFT(RIGHT(INDEX(tblStellplatz[SAP],MATCH(PlanLayout!P18,tblStellplatz[Stellplatz],0)),4),1)="0",RIGHT(INDEX(tblStellplatz[SAP],MATCH(PlanLayout!P18,tblStellplatz[Stellplatz],0)),5),RIGHT(INDEX(tblStellplatz[SAP],MATCH(PlanLayout!P18,tblStellplatz[Stellplatz],0)),4))),"?"))</f>
        <v/>
      </c>
      <c r="Q18" s="4">
        <f>IF(PlanLayout!Q18="","",PlanLayout!Q18&amp;CHAR(10)&amp;IFERROR(IF(INDEX(tblStellplatz[SAP],MATCH(PlanLayout!Q18,tblStellplatz[Stellplatz],0))="","leer",IF(LEFT(RIGHT(INDEX(tblStellplatz[SAP],MATCH(PlanLayout!Q18,tblStellplatz[Stellplatz],0)),4),1)="0",RIGHT(INDEX(tblStellplatz[SAP],MATCH(PlanLayout!Q18,tblStellplatz[Stellplatz],0)),5),RIGHT(INDEX(tblStellplatz[SAP],MATCH(PlanLayout!Q18,tblStellplatz[Stellplatz],0)),4))),"?"))</f>
        <v/>
      </c>
      <c r="R18" s="4">
        <f>IF(PlanLayout!R18="","",PlanLayout!R18&amp;CHAR(10)&amp;IFERROR(IF(INDEX(tblStellplatz[SAP],MATCH(PlanLayout!R18,tblStellplatz[Stellplatz],0))="","leer",IF(LEFT(RIGHT(INDEX(tblStellplatz[SAP],MATCH(PlanLayout!R18,tblStellplatz[Stellplatz],0)),4),1)="0",RIGHT(INDEX(tblStellplatz[SAP],MATCH(PlanLayout!R18,tblStellplatz[Stellplatz],0)),5),RIGHT(INDEX(tblStellplatz[SAP],MATCH(PlanLayout!R18,tblStellplatz[Stellplatz],0)),4))),"?"))</f>
        <v/>
      </c>
      <c r="S18" s="4">
        <f>IF(PlanLayout!S18="","",PlanLayout!S18&amp;CHAR(10)&amp;IFERROR(IF(INDEX(tblStellplatz[SAP],MATCH(PlanLayout!S18,tblStellplatz[Stellplatz],0))="","leer",IF(LEFT(RIGHT(INDEX(tblStellplatz[SAP],MATCH(PlanLayout!S18,tblStellplatz[Stellplatz],0)),4),1)="0",RIGHT(INDEX(tblStellplatz[SAP],MATCH(PlanLayout!S18,tblStellplatz[Stellplatz],0)),5),RIGHT(INDEX(tblStellplatz[SAP],MATCH(PlanLayout!S18,tblStellplatz[Stellplatz],0)),4))),"?"))</f>
        <v/>
      </c>
      <c r="T18" s="4">
        <f>IF(PlanLayout!T18="","",PlanLayout!T18&amp;CHAR(10)&amp;IFERROR(IF(INDEX(tblStellplatz[SAP],MATCH(PlanLayout!T18,tblStellplatz[Stellplatz],0))="","leer",IF(LEFT(RIGHT(INDEX(tblStellplatz[SAP],MATCH(PlanLayout!T18,tblStellplatz[Stellplatz],0)),4),1)="0",RIGHT(INDEX(tblStellplatz[SAP],MATCH(PlanLayout!T18,tblStellplatz[Stellplatz],0)),5),RIGHT(INDEX(tblStellplatz[SAP],MATCH(PlanLayout!T18,tblStellplatz[Stellplatz],0)),4))),"?"))</f>
        <v/>
      </c>
      <c r="U18" s="4">
        <f>IF(PlanLayout!U18="","",PlanLayout!U18&amp;CHAR(10)&amp;IFERROR(IF(INDEX(tblStellplatz[SAP],MATCH(PlanLayout!U18,tblStellplatz[Stellplatz],0))="","leer",IF(LEFT(RIGHT(INDEX(tblStellplatz[SAP],MATCH(PlanLayout!U18,tblStellplatz[Stellplatz],0)),4),1)="0",RIGHT(INDEX(tblStellplatz[SAP],MATCH(PlanLayout!U18,tblStellplatz[Stellplatz],0)),5),RIGHT(INDEX(tblStellplatz[SAP],MATCH(PlanLayout!U18,tblStellplatz[Stellplatz],0)),4))),"?"))</f>
        <v/>
      </c>
      <c r="V18" s="4">
        <f>IF(PlanLayout!V18="","",PlanLayout!V18&amp;CHAR(10)&amp;IFERROR(IF(INDEX(tblStellplatz[SAP],MATCH(PlanLayout!V18,tblStellplatz[Stellplatz],0))="","leer",IF(LEFT(RIGHT(INDEX(tblStellplatz[SAP],MATCH(PlanLayout!V18,tblStellplatz[Stellplatz],0)),4),1)="0",RIGHT(INDEX(tblStellplatz[SAP],MATCH(PlanLayout!V18,tblStellplatz[Stellplatz],0)),5),RIGHT(INDEX(tblStellplatz[SAP],MATCH(PlanLayout!V18,tblStellplatz[Stellplatz],0)),4))),"?"))</f>
        <v/>
      </c>
      <c r="W18" s="4">
        <f>IF(PlanLayout!W18="","",PlanLayout!W18&amp;CHAR(10)&amp;IFERROR(IF(INDEX(tblStellplatz[SAP],MATCH(PlanLayout!W18,tblStellplatz[Stellplatz],0))="","leer",IF(LEFT(RIGHT(INDEX(tblStellplatz[SAP],MATCH(PlanLayout!W18,tblStellplatz[Stellplatz],0)),4),1)="0",RIGHT(INDEX(tblStellplatz[SAP],MATCH(PlanLayout!W18,tblStellplatz[Stellplatz],0)),5),RIGHT(INDEX(tblStellplatz[SAP],MATCH(PlanLayout!W18,tblStellplatz[Stellplatz],0)),4))),"?"))</f>
        <v/>
      </c>
      <c r="X18" s="4">
        <f>IF(PlanLayout!X18="","",PlanLayout!X18&amp;CHAR(10)&amp;IFERROR(IF(INDEX(tblStellplatz[SAP],MATCH(PlanLayout!X18,tblStellplatz[Stellplatz],0))="","leer",IF(LEFT(RIGHT(INDEX(tblStellplatz[SAP],MATCH(PlanLayout!X18,tblStellplatz[Stellplatz],0)),4),1)="0",RIGHT(INDEX(tblStellplatz[SAP],MATCH(PlanLayout!X18,tblStellplatz[Stellplatz],0)),5),RIGHT(INDEX(tblStellplatz[SAP],MATCH(PlanLayout!X18,tblStellplatz[Stellplatz],0)),4))),"?"))</f>
        <v/>
      </c>
      <c r="Y18" s="4">
        <f>IF(PlanLayout!Y18="","",PlanLayout!Y18&amp;CHAR(10)&amp;IFERROR(IF(INDEX(tblStellplatz[SAP],MATCH(PlanLayout!Y18,tblStellplatz[Stellplatz],0))="","leer",IF(LEFT(RIGHT(INDEX(tblStellplatz[SAP],MATCH(PlanLayout!Y18,tblStellplatz[Stellplatz],0)),4),1)="0",RIGHT(INDEX(tblStellplatz[SAP],MATCH(PlanLayout!Y18,tblStellplatz[Stellplatz],0)),5),RIGHT(INDEX(tblStellplatz[SAP],MATCH(PlanLayout!Y18,tblStellplatz[Stellplatz],0)),4))),"?"))</f>
        <v/>
      </c>
      <c r="Z18" s="4">
        <f>IF(PlanLayout!Z18="","",PlanLayout!Z18&amp;CHAR(10)&amp;IFERROR(IF(INDEX(tblStellplatz[SAP],MATCH(PlanLayout!Z18,tblStellplatz[Stellplatz],0))="","leer",IF(LEFT(RIGHT(INDEX(tblStellplatz[SAP],MATCH(PlanLayout!Z18,tblStellplatz[Stellplatz],0)),4),1)="0",RIGHT(INDEX(tblStellplatz[SAP],MATCH(PlanLayout!Z18,tblStellplatz[Stellplatz],0)),5),RIGHT(INDEX(tblStellplatz[SAP],MATCH(PlanLayout!Z18,tblStellplatz[Stellplatz],0)),4))),"?"))</f>
        <v/>
      </c>
      <c r="AA18" s="4">
        <f>IF(PlanLayout!AA18="","",PlanLayout!AA18&amp;CHAR(10)&amp;IFERROR(IF(INDEX(tblStellplatz[SAP],MATCH(PlanLayout!AA18,tblStellplatz[Stellplatz],0))="","leer",IF(LEFT(RIGHT(INDEX(tblStellplatz[SAP],MATCH(PlanLayout!AA18,tblStellplatz[Stellplatz],0)),4),1)="0",RIGHT(INDEX(tblStellplatz[SAP],MATCH(PlanLayout!AA18,tblStellplatz[Stellplatz],0)),5),RIGHT(INDEX(tblStellplatz[SAP],MATCH(PlanLayout!AA18,tblStellplatz[Stellplatz],0)),4))),"?"))</f>
        <v/>
      </c>
      <c r="AB18" s="4">
        <f>IF(PlanLayout!AB18="","",PlanLayout!AB18&amp;CHAR(10)&amp;IFERROR(IF(INDEX(tblStellplatz[SAP],MATCH(PlanLayout!AB18,tblStellplatz[Stellplatz],0))="","leer",IF(LEFT(RIGHT(INDEX(tblStellplatz[SAP],MATCH(PlanLayout!AB18,tblStellplatz[Stellplatz],0)),4),1)="0",RIGHT(INDEX(tblStellplatz[SAP],MATCH(PlanLayout!AB18,tblStellplatz[Stellplatz],0)),5),RIGHT(INDEX(tblStellplatz[SAP],MATCH(PlanLayout!AB18,tblStellplatz[Stellplatz],0)),4))),"?"))</f>
        <v/>
      </c>
      <c r="AC18" s="4">
        <f>IF(PlanLayout!AC18="","",PlanLayout!AC18&amp;CHAR(10)&amp;IFERROR(IF(INDEX(tblStellplatz[SAP],MATCH(PlanLayout!AC18,tblStellplatz[Stellplatz],0))="","leer",IF(LEFT(RIGHT(INDEX(tblStellplatz[SAP],MATCH(PlanLayout!AC18,tblStellplatz[Stellplatz],0)),4),1)="0",RIGHT(INDEX(tblStellplatz[SAP],MATCH(PlanLayout!AC18,tblStellplatz[Stellplatz],0)),5),RIGHT(INDEX(tblStellplatz[SAP],MATCH(PlanLayout!AC18,tblStellplatz[Stellplatz],0)),4))),"?"))</f>
        <v/>
      </c>
      <c r="AD18" s="4">
        <f>IF(PlanLayout!AD18="","",PlanLayout!AD18&amp;CHAR(10)&amp;IFERROR(IF(INDEX(tblStellplatz[SAP],MATCH(PlanLayout!AD18,tblStellplatz[Stellplatz],0))="","leer",IF(LEFT(RIGHT(INDEX(tblStellplatz[SAP],MATCH(PlanLayout!AD18,tblStellplatz[Stellplatz],0)),4),1)="0",RIGHT(INDEX(tblStellplatz[SAP],MATCH(PlanLayout!AD18,tblStellplatz[Stellplatz],0)),5),RIGHT(INDEX(tblStellplatz[SAP],MATCH(PlanLayout!AD18,tblStellplatz[Stellplatz],0)),4))),"?"))</f>
        <v/>
      </c>
      <c r="AE18" s="4">
        <f>IF(PlanLayout!AE18="","",PlanLayout!AE18&amp;CHAR(10)&amp;IFERROR(IF(INDEX(tblStellplatz[SAP],MATCH(PlanLayout!AE18,tblStellplatz[Stellplatz],0))="","leer",IF(LEFT(RIGHT(INDEX(tblStellplatz[SAP],MATCH(PlanLayout!AE18,tblStellplatz[Stellplatz],0)),4),1)="0",RIGHT(INDEX(tblStellplatz[SAP],MATCH(PlanLayout!AE18,tblStellplatz[Stellplatz],0)),5),RIGHT(INDEX(tblStellplatz[SAP],MATCH(PlanLayout!AE18,tblStellplatz[Stellplatz],0)),4))),"?"))</f>
        <v/>
      </c>
      <c r="AF18" s="4">
        <f>IF(PlanLayout!AF18="","",PlanLayout!AF18&amp;CHAR(10)&amp;IFERROR(IF(INDEX(tblStellplatz[SAP],MATCH(PlanLayout!AF18,tblStellplatz[Stellplatz],0))="","leer",IF(LEFT(RIGHT(INDEX(tblStellplatz[SAP],MATCH(PlanLayout!AF18,tblStellplatz[Stellplatz],0)),4),1)="0",RIGHT(INDEX(tblStellplatz[SAP],MATCH(PlanLayout!AF18,tblStellplatz[Stellplatz],0)),5),RIGHT(INDEX(tblStellplatz[SAP],MATCH(PlanLayout!AF18,tblStellplatz[Stellplatz],0)),4))),"?"))</f>
        <v/>
      </c>
      <c r="AG18" s="4">
        <f>IF(PlanLayout!AG18="","",PlanLayout!AG18&amp;CHAR(10)&amp;IFERROR(IF(INDEX(tblStellplatz[SAP],MATCH(PlanLayout!AG18,tblStellplatz[Stellplatz],0))="","leer",IF(LEFT(RIGHT(INDEX(tblStellplatz[SAP],MATCH(PlanLayout!AG18,tblStellplatz[Stellplatz],0)),4),1)="0",RIGHT(INDEX(tblStellplatz[SAP],MATCH(PlanLayout!AG18,tblStellplatz[Stellplatz],0)),5),RIGHT(INDEX(tblStellplatz[SAP],MATCH(PlanLayout!AG18,tblStellplatz[Stellplatz],0)),4))),"?"))</f>
        <v/>
      </c>
      <c r="AH18" s="4">
        <f>IF(PlanLayout!AH18="","",PlanLayout!AH18&amp;CHAR(10)&amp;IFERROR(IF(INDEX(tblStellplatz[SAP],MATCH(PlanLayout!AH18,tblStellplatz[Stellplatz],0))="","leer",IF(LEFT(RIGHT(INDEX(tblStellplatz[SAP],MATCH(PlanLayout!AH18,tblStellplatz[Stellplatz],0)),4),1)="0",RIGHT(INDEX(tblStellplatz[SAP],MATCH(PlanLayout!AH18,tblStellplatz[Stellplatz],0)),5),RIGHT(INDEX(tblStellplatz[SAP],MATCH(PlanLayout!AH18,tblStellplatz[Stellplatz],0)),4))),"?"))</f>
        <v/>
      </c>
      <c r="AI18" s="4">
        <f>IF(PlanLayout!AI18="","",PlanLayout!AI18&amp;CHAR(10)&amp;IFERROR(IF(INDEX(tblStellplatz[SAP],MATCH(PlanLayout!AI18,tblStellplatz[Stellplatz],0))="","leer",IF(LEFT(RIGHT(INDEX(tblStellplatz[SAP],MATCH(PlanLayout!AI18,tblStellplatz[Stellplatz],0)),4),1)="0",RIGHT(INDEX(tblStellplatz[SAP],MATCH(PlanLayout!AI18,tblStellplatz[Stellplatz],0)),5),RIGHT(INDEX(tblStellplatz[SAP],MATCH(PlanLayout!AI18,tblStellplatz[Stellplatz],0)),4))),"?"))</f>
        <v/>
      </c>
      <c r="AJ18" s="4">
        <f>IF(PlanLayout!AJ18="","",PlanLayout!AJ18&amp;CHAR(10)&amp;IFERROR(IF(INDEX(tblStellplatz[SAP],MATCH(PlanLayout!AJ18,tblStellplatz[Stellplatz],0))="","leer",IF(LEFT(RIGHT(INDEX(tblStellplatz[SAP],MATCH(PlanLayout!AJ18,tblStellplatz[Stellplatz],0)),4),1)="0",RIGHT(INDEX(tblStellplatz[SAP],MATCH(PlanLayout!AJ18,tblStellplatz[Stellplatz],0)),5),RIGHT(INDEX(tblStellplatz[SAP],MATCH(PlanLayout!AJ18,tblStellplatz[Stellplatz],0)),4))),"?"))</f>
        <v/>
      </c>
      <c r="AK18" s="4">
        <f>IF(PlanLayout!AK18="","",PlanLayout!AK18&amp;CHAR(10)&amp;IFERROR(IF(INDEX(tblStellplatz[SAP],MATCH(PlanLayout!AK18,tblStellplatz[Stellplatz],0))="","leer",IF(LEFT(RIGHT(INDEX(tblStellplatz[SAP],MATCH(PlanLayout!AK18,tblStellplatz[Stellplatz],0)),4),1)="0",RIGHT(INDEX(tblStellplatz[SAP],MATCH(PlanLayout!AK18,tblStellplatz[Stellplatz],0)),5),RIGHT(INDEX(tblStellplatz[SAP],MATCH(PlanLayout!AK18,tblStellplatz[Stellplatz],0)),4))),"?"))</f>
        <v/>
      </c>
      <c r="AL18" s="4">
        <f>IF(PlanLayout!AL18="","",PlanLayout!AL18&amp;CHAR(10)&amp;IFERROR(IF(INDEX(tblStellplatz[SAP],MATCH(PlanLayout!AL18,tblStellplatz[Stellplatz],0))="","leer",IF(LEFT(RIGHT(INDEX(tblStellplatz[SAP],MATCH(PlanLayout!AL18,tblStellplatz[Stellplatz],0)),4),1)="0",RIGHT(INDEX(tblStellplatz[SAP],MATCH(PlanLayout!AL18,tblStellplatz[Stellplatz],0)),5),RIGHT(INDEX(tblStellplatz[SAP],MATCH(PlanLayout!AL18,tblStellplatz[Stellplatz],0)),4))),"?"))</f>
        <v/>
      </c>
      <c r="AM18" s="4">
        <f>IF(PlanLayout!AM18="","",PlanLayout!AM18&amp;CHAR(10)&amp;IFERROR(IF(INDEX(tblStellplatz[SAP],MATCH(PlanLayout!AM18,tblStellplatz[Stellplatz],0))="","leer",IF(LEFT(RIGHT(INDEX(tblStellplatz[SAP],MATCH(PlanLayout!AM18,tblStellplatz[Stellplatz],0)),4),1)="0",RIGHT(INDEX(tblStellplatz[SAP],MATCH(PlanLayout!AM18,tblStellplatz[Stellplatz],0)),5),RIGHT(INDEX(tblStellplatz[SAP],MATCH(PlanLayout!AM18,tblStellplatz[Stellplatz],0)),4))),"?"))</f>
        <v/>
      </c>
      <c r="AN18" s="4">
        <f>IF(PlanLayout!AN18="","",PlanLayout!AN18&amp;CHAR(10)&amp;IFERROR(IF(INDEX(tblStellplatz[SAP],MATCH(PlanLayout!AN18,tblStellplatz[Stellplatz],0))="","leer",IF(LEFT(RIGHT(INDEX(tblStellplatz[SAP],MATCH(PlanLayout!AN18,tblStellplatz[Stellplatz],0)),4),1)="0",RIGHT(INDEX(tblStellplatz[SAP],MATCH(PlanLayout!AN18,tblStellplatz[Stellplatz],0)),5),RIGHT(INDEX(tblStellplatz[SAP],MATCH(PlanLayout!AN18,tblStellplatz[Stellplatz],0)),4))),"?"))</f>
        <v/>
      </c>
      <c r="AO18" s="4">
        <f>IF(PlanLayout!AO18="","",PlanLayout!AO18&amp;CHAR(10)&amp;IFERROR(IF(INDEX(tblStellplatz[SAP],MATCH(PlanLayout!AO18,tblStellplatz[Stellplatz],0))="","leer",IF(LEFT(RIGHT(INDEX(tblStellplatz[SAP],MATCH(PlanLayout!AO18,tblStellplatz[Stellplatz],0)),4),1)="0",RIGHT(INDEX(tblStellplatz[SAP],MATCH(PlanLayout!AO18,tblStellplatz[Stellplatz],0)),5),RIGHT(INDEX(tblStellplatz[SAP],MATCH(PlanLayout!AO18,tblStellplatz[Stellplatz],0)),4))),"?"))</f>
        <v/>
      </c>
    </row>
    <row r="19" ht="30" customHeight="1">
      <c r="B19" s="4">
        <f>IF(PlanLayout!B19="","",PlanLayout!B19&amp;CHAR(10)&amp;IFERROR(IF(INDEX(tblStellplatz[SAP],MATCH(PlanLayout!B19,tblStellplatz[Stellplatz],0))="","leer",IF(LEFT(RIGHT(INDEX(tblStellplatz[SAP],MATCH(PlanLayout!B19,tblStellplatz[Stellplatz],0)),4),1)="0",RIGHT(INDEX(tblStellplatz[SAP],MATCH(PlanLayout!B19,tblStellplatz[Stellplatz],0)),5),RIGHT(INDEX(tblStellplatz[SAP],MATCH(PlanLayout!B19,tblStellplatz[Stellplatz],0)),4))),"?"))</f>
        <v/>
      </c>
      <c r="C19" s="4">
        <f>IF(PlanLayout!C19="","",PlanLayout!C19&amp;CHAR(10)&amp;IFERROR(IF(INDEX(tblStellplatz[SAP],MATCH(PlanLayout!C19,tblStellplatz[Stellplatz],0))="","leer",IF(LEFT(RIGHT(INDEX(tblStellplatz[SAP],MATCH(PlanLayout!C19,tblStellplatz[Stellplatz],0)),4),1)="0",RIGHT(INDEX(tblStellplatz[SAP],MATCH(PlanLayout!C19,tblStellplatz[Stellplatz],0)),5),RIGHT(INDEX(tblStellplatz[SAP],MATCH(PlanLayout!C19,tblStellplatz[Stellplatz],0)),4))),"?"))</f>
        <v/>
      </c>
      <c r="D19" s="4">
        <f>IF(PlanLayout!D19="","",PlanLayout!D19&amp;CHAR(10)&amp;IFERROR(IF(INDEX(tblStellplatz[SAP],MATCH(PlanLayout!D19,tblStellplatz[Stellplatz],0))="","leer",IF(LEFT(RIGHT(INDEX(tblStellplatz[SAP],MATCH(PlanLayout!D19,tblStellplatz[Stellplatz],0)),4),1)="0",RIGHT(INDEX(tblStellplatz[SAP],MATCH(PlanLayout!D19,tblStellplatz[Stellplatz],0)),5),RIGHT(INDEX(tblStellplatz[SAP],MATCH(PlanLayout!D19,tblStellplatz[Stellplatz],0)),4))),"?"))</f>
        <v/>
      </c>
      <c r="E19" s="4">
        <f>IF(PlanLayout!E19="","",PlanLayout!E19&amp;CHAR(10)&amp;IFERROR(IF(INDEX(tblStellplatz[SAP],MATCH(PlanLayout!E19,tblStellplatz[Stellplatz],0))="","leer",IF(LEFT(RIGHT(INDEX(tblStellplatz[SAP],MATCH(PlanLayout!E19,tblStellplatz[Stellplatz],0)),4),1)="0",RIGHT(INDEX(tblStellplatz[SAP],MATCH(PlanLayout!E19,tblStellplatz[Stellplatz],0)),5),RIGHT(INDEX(tblStellplatz[SAP],MATCH(PlanLayout!E19,tblStellplatz[Stellplatz],0)),4))),"?"))</f>
        <v/>
      </c>
      <c r="F19" s="4">
        <f>IF(PlanLayout!F19="","",PlanLayout!F19&amp;CHAR(10)&amp;IFERROR(IF(INDEX(tblStellplatz[SAP],MATCH(PlanLayout!F19,tblStellplatz[Stellplatz],0))="","leer",IF(LEFT(RIGHT(INDEX(tblStellplatz[SAP],MATCH(PlanLayout!F19,tblStellplatz[Stellplatz],0)),4),1)="0",RIGHT(INDEX(tblStellplatz[SAP],MATCH(PlanLayout!F19,tblStellplatz[Stellplatz],0)),5),RIGHT(INDEX(tblStellplatz[SAP],MATCH(PlanLayout!F19,tblStellplatz[Stellplatz],0)),4))),"?"))</f>
        <v/>
      </c>
      <c r="G19" s="4">
        <f>IF(PlanLayout!G19="","",PlanLayout!G19&amp;CHAR(10)&amp;IFERROR(IF(INDEX(tblStellplatz[SAP],MATCH(PlanLayout!G19,tblStellplatz[Stellplatz],0))="","leer",IF(LEFT(RIGHT(INDEX(tblStellplatz[SAP],MATCH(PlanLayout!G19,tblStellplatz[Stellplatz],0)),4),1)="0",RIGHT(INDEX(tblStellplatz[SAP],MATCH(PlanLayout!G19,tblStellplatz[Stellplatz],0)),5),RIGHT(INDEX(tblStellplatz[SAP],MATCH(PlanLayout!G19,tblStellplatz[Stellplatz],0)),4))),"?"))</f>
        <v/>
      </c>
      <c r="H19" s="4">
        <f>IF(PlanLayout!H19="","",PlanLayout!H19&amp;CHAR(10)&amp;IFERROR(IF(INDEX(tblStellplatz[SAP],MATCH(PlanLayout!H19,tblStellplatz[Stellplatz],0))="","leer",IF(LEFT(RIGHT(INDEX(tblStellplatz[SAP],MATCH(PlanLayout!H19,tblStellplatz[Stellplatz],0)),4),1)="0",RIGHT(INDEX(tblStellplatz[SAP],MATCH(PlanLayout!H19,tblStellplatz[Stellplatz],0)),5),RIGHT(INDEX(tblStellplatz[SAP],MATCH(PlanLayout!H19,tblStellplatz[Stellplatz],0)),4))),"?"))</f>
        <v/>
      </c>
      <c r="I19" s="4">
        <f>IF(PlanLayout!I19="","",PlanLayout!I19&amp;CHAR(10)&amp;IFERROR(IF(INDEX(tblStellplatz[SAP],MATCH(PlanLayout!I19,tblStellplatz[Stellplatz],0))="","leer",IF(LEFT(RIGHT(INDEX(tblStellplatz[SAP],MATCH(PlanLayout!I19,tblStellplatz[Stellplatz],0)),4),1)="0",RIGHT(INDEX(tblStellplatz[SAP],MATCH(PlanLayout!I19,tblStellplatz[Stellplatz],0)),5),RIGHT(INDEX(tblStellplatz[SAP],MATCH(PlanLayout!I19,tblStellplatz[Stellplatz],0)),4))),"?"))</f>
        <v/>
      </c>
      <c r="J19" s="4">
        <f>IF(PlanLayout!J19="","",PlanLayout!J19&amp;CHAR(10)&amp;IFERROR(IF(INDEX(tblStellplatz[SAP],MATCH(PlanLayout!J19,tblStellplatz[Stellplatz],0))="","leer",IF(LEFT(RIGHT(INDEX(tblStellplatz[SAP],MATCH(PlanLayout!J19,tblStellplatz[Stellplatz],0)),4),1)="0",RIGHT(INDEX(tblStellplatz[SAP],MATCH(PlanLayout!J19,tblStellplatz[Stellplatz],0)),5),RIGHT(INDEX(tblStellplatz[SAP],MATCH(PlanLayout!J19,tblStellplatz[Stellplatz],0)),4))),"?"))</f>
        <v/>
      </c>
      <c r="K19" s="4">
        <f>IF(PlanLayout!K19="","",PlanLayout!K19&amp;CHAR(10)&amp;IFERROR(IF(INDEX(tblStellplatz[SAP],MATCH(PlanLayout!K19,tblStellplatz[Stellplatz],0))="","leer",IF(LEFT(RIGHT(INDEX(tblStellplatz[SAP],MATCH(PlanLayout!K19,tblStellplatz[Stellplatz],0)),4),1)="0",RIGHT(INDEX(tblStellplatz[SAP],MATCH(PlanLayout!K19,tblStellplatz[Stellplatz],0)),5),RIGHT(INDEX(tblStellplatz[SAP],MATCH(PlanLayout!K19,tblStellplatz[Stellplatz],0)),4))),"?"))</f>
        <v/>
      </c>
      <c r="L19" s="4">
        <f>IF(PlanLayout!L19="","",PlanLayout!L19&amp;CHAR(10)&amp;IFERROR(IF(INDEX(tblStellplatz[SAP],MATCH(PlanLayout!L19,tblStellplatz[Stellplatz],0))="","leer",IF(LEFT(RIGHT(INDEX(tblStellplatz[SAP],MATCH(PlanLayout!L19,tblStellplatz[Stellplatz],0)),4),1)="0",RIGHT(INDEX(tblStellplatz[SAP],MATCH(PlanLayout!L19,tblStellplatz[Stellplatz],0)),5),RIGHT(INDEX(tblStellplatz[SAP],MATCH(PlanLayout!L19,tblStellplatz[Stellplatz],0)),4))),"?"))</f>
        <v/>
      </c>
      <c r="M19" s="4">
        <f>IF(PlanLayout!M19="","",PlanLayout!M19&amp;CHAR(10)&amp;IFERROR(IF(INDEX(tblStellplatz[SAP],MATCH(PlanLayout!M19,tblStellplatz[Stellplatz],0))="","leer",IF(LEFT(RIGHT(INDEX(tblStellplatz[SAP],MATCH(PlanLayout!M19,tblStellplatz[Stellplatz],0)),4),1)="0",RIGHT(INDEX(tblStellplatz[SAP],MATCH(PlanLayout!M19,tblStellplatz[Stellplatz],0)),5),RIGHT(INDEX(tblStellplatz[SAP],MATCH(PlanLayout!M19,tblStellplatz[Stellplatz],0)),4))),"?"))</f>
        <v/>
      </c>
      <c r="N19" s="4">
        <f>IF(PlanLayout!N19="","",PlanLayout!N19&amp;CHAR(10)&amp;IFERROR(IF(INDEX(tblStellplatz[SAP],MATCH(PlanLayout!N19,tblStellplatz[Stellplatz],0))="","leer",IF(LEFT(RIGHT(INDEX(tblStellplatz[SAP],MATCH(PlanLayout!N19,tblStellplatz[Stellplatz],0)),4),1)="0",RIGHT(INDEX(tblStellplatz[SAP],MATCH(PlanLayout!N19,tblStellplatz[Stellplatz],0)),5),RIGHT(INDEX(tblStellplatz[SAP],MATCH(PlanLayout!N19,tblStellplatz[Stellplatz],0)),4))),"?"))</f>
        <v/>
      </c>
      <c r="O19" s="4">
        <f>IF(PlanLayout!O19="","",PlanLayout!O19&amp;CHAR(10)&amp;IFERROR(IF(INDEX(tblStellplatz[SAP],MATCH(PlanLayout!O19,tblStellplatz[Stellplatz],0))="","leer",IF(LEFT(RIGHT(INDEX(tblStellplatz[SAP],MATCH(PlanLayout!O19,tblStellplatz[Stellplatz],0)),4),1)="0",RIGHT(INDEX(tblStellplatz[SAP],MATCH(PlanLayout!O19,tblStellplatz[Stellplatz],0)),5),RIGHT(INDEX(tblStellplatz[SAP],MATCH(PlanLayout!O19,tblStellplatz[Stellplatz],0)),4))),"?"))</f>
        <v/>
      </c>
      <c r="P19" s="4">
        <f>IF(PlanLayout!P19="","",PlanLayout!P19&amp;CHAR(10)&amp;IFERROR(IF(INDEX(tblStellplatz[SAP],MATCH(PlanLayout!P19,tblStellplatz[Stellplatz],0))="","leer",IF(LEFT(RIGHT(INDEX(tblStellplatz[SAP],MATCH(PlanLayout!P19,tblStellplatz[Stellplatz],0)),4),1)="0",RIGHT(INDEX(tblStellplatz[SAP],MATCH(PlanLayout!P19,tblStellplatz[Stellplatz],0)),5),RIGHT(INDEX(tblStellplatz[SAP],MATCH(PlanLayout!P19,tblStellplatz[Stellplatz],0)),4))),"?"))</f>
        <v/>
      </c>
      <c r="Q19" s="4">
        <f>IF(PlanLayout!Q19="","",PlanLayout!Q19&amp;CHAR(10)&amp;IFERROR(IF(INDEX(tblStellplatz[SAP],MATCH(PlanLayout!Q19,tblStellplatz[Stellplatz],0))="","leer",IF(LEFT(RIGHT(INDEX(tblStellplatz[SAP],MATCH(PlanLayout!Q19,tblStellplatz[Stellplatz],0)),4),1)="0",RIGHT(INDEX(tblStellplatz[SAP],MATCH(PlanLayout!Q19,tblStellplatz[Stellplatz],0)),5),RIGHT(INDEX(tblStellplatz[SAP],MATCH(PlanLayout!Q19,tblStellplatz[Stellplatz],0)),4))),"?"))</f>
        <v/>
      </c>
      <c r="R19" s="4">
        <f>IF(PlanLayout!R19="","",PlanLayout!R19&amp;CHAR(10)&amp;IFERROR(IF(INDEX(tblStellplatz[SAP],MATCH(PlanLayout!R19,tblStellplatz[Stellplatz],0))="","leer",IF(LEFT(RIGHT(INDEX(tblStellplatz[SAP],MATCH(PlanLayout!R19,tblStellplatz[Stellplatz],0)),4),1)="0",RIGHT(INDEX(tblStellplatz[SAP],MATCH(PlanLayout!R19,tblStellplatz[Stellplatz],0)),5),RIGHT(INDEX(tblStellplatz[SAP],MATCH(PlanLayout!R19,tblStellplatz[Stellplatz],0)),4))),"?"))</f>
        <v/>
      </c>
      <c r="S19" s="4">
        <f>IF(PlanLayout!S19="","",PlanLayout!S19&amp;CHAR(10)&amp;IFERROR(IF(INDEX(tblStellplatz[SAP],MATCH(PlanLayout!S19,tblStellplatz[Stellplatz],0))="","leer",IF(LEFT(RIGHT(INDEX(tblStellplatz[SAP],MATCH(PlanLayout!S19,tblStellplatz[Stellplatz],0)),4),1)="0",RIGHT(INDEX(tblStellplatz[SAP],MATCH(PlanLayout!S19,tblStellplatz[Stellplatz],0)),5),RIGHT(INDEX(tblStellplatz[SAP],MATCH(PlanLayout!S19,tblStellplatz[Stellplatz],0)),4))),"?"))</f>
        <v/>
      </c>
      <c r="T19" s="4">
        <f>IF(PlanLayout!T19="","",PlanLayout!T19&amp;CHAR(10)&amp;IFERROR(IF(INDEX(tblStellplatz[SAP],MATCH(PlanLayout!T19,tblStellplatz[Stellplatz],0))="","leer",IF(LEFT(RIGHT(INDEX(tblStellplatz[SAP],MATCH(PlanLayout!T19,tblStellplatz[Stellplatz],0)),4),1)="0",RIGHT(INDEX(tblStellplatz[SAP],MATCH(PlanLayout!T19,tblStellplatz[Stellplatz],0)),5),RIGHT(INDEX(tblStellplatz[SAP],MATCH(PlanLayout!T19,tblStellplatz[Stellplatz],0)),4))),"?"))</f>
        <v/>
      </c>
      <c r="U19" s="4">
        <f>IF(PlanLayout!U19="","",PlanLayout!U19&amp;CHAR(10)&amp;IFERROR(IF(INDEX(tblStellplatz[SAP],MATCH(PlanLayout!U19,tblStellplatz[Stellplatz],0))="","leer",IF(LEFT(RIGHT(INDEX(tblStellplatz[SAP],MATCH(PlanLayout!U19,tblStellplatz[Stellplatz],0)),4),1)="0",RIGHT(INDEX(tblStellplatz[SAP],MATCH(PlanLayout!U19,tblStellplatz[Stellplatz],0)),5),RIGHT(INDEX(tblStellplatz[SAP],MATCH(PlanLayout!U19,tblStellplatz[Stellplatz],0)),4))),"?"))</f>
        <v/>
      </c>
      <c r="V19" s="4">
        <f>IF(PlanLayout!V19="","",PlanLayout!V19&amp;CHAR(10)&amp;IFERROR(IF(INDEX(tblStellplatz[SAP],MATCH(PlanLayout!V19,tblStellplatz[Stellplatz],0))="","leer",IF(LEFT(RIGHT(INDEX(tblStellplatz[SAP],MATCH(PlanLayout!V19,tblStellplatz[Stellplatz],0)),4),1)="0",RIGHT(INDEX(tblStellplatz[SAP],MATCH(PlanLayout!V19,tblStellplatz[Stellplatz],0)),5),RIGHT(INDEX(tblStellplatz[SAP],MATCH(PlanLayout!V19,tblStellplatz[Stellplatz],0)),4))),"?"))</f>
        <v/>
      </c>
      <c r="W19" s="4">
        <f>IF(PlanLayout!W19="","",PlanLayout!W19&amp;CHAR(10)&amp;IFERROR(IF(INDEX(tblStellplatz[SAP],MATCH(PlanLayout!W19,tblStellplatz[Stellplatz],0))="","leer",IF(LEFT(RIGHT(INDEX(tblStellplatz[SAP],MATCH(PlanLayout!W19,tblStellplatz[Stellplatz],0)),4),1)="0",RIGHT(INDEX(tblStellplatz[SAP],MATCH(PlanLayout!W19,tblStellplatz[Stellplatz],0)),5),RIGHT(INDEX(tblStellplatz[SAP],MATCH(PlanLayout!W19,tblStellplatz[Stellplatz],0)),4))),"?"))</f>
        <v/>
      </c>
      <c r="X19" s="4">
        <f>IF(PlanLayout!X19="","",PlanLayout!X19&amp;CHAR(10)&amp;IFERROR(IF(INDEX(tblStellplatz[SAP],MATCH(PlanLayout!X19,tblStellplatz[Stellplatz],0))="","leer",IF(LEFT(RIGHT(INDEX(tblStellplatz[SAP],MATCH(PlanLayout!X19,tblStellplatz[Stellplatz],0)),4),1)="0",RIGHT(INDEX(tblStellplatz[SAP],MATCH(PlanLayout!X19,tblStellplatz[Stellplatz],0)),5),RIGHT(INDEX(tblStellplatz[SAP],MATCH(PlanLayout!X19,tblStellplatz[Stellplatz],0)),4))),"?"))</f>
        <v/>
      </c>
      <c r="Y19" s="4">
        <f>IF(PlanLayout!Y19="","",PlanLayout!Y19&amp;CHAR(10)&amp;IFERROR(IF(INDEX(tblStellplatz[SAP],MATCH(PlanLayout!Y19,tblStellplatz[Stellplatz],0))="","leer",IF(LEFT(RIGHT(INDEX(tblStellplatz[SAP],MATCH(PlanLayout!Y19,tblStellplatz[Stellplatz],0)),4),1)="0",RIGHT(INDEX(tblStellplatz[SAP],MATCH(PlanLayout!Y19,tblStellplatz[Stellplatz],0)),5),RIGHT(INDEX(tblStellplatz[SAP],MATCH(PlanLayout!Y19,tblStellplatz[Stellplatz],0)),4))),"?"))</f>
        <v/>
      </c>
      <c r="Z19" s="4">
        <f>IF(PlanLayout!Z19="","",PlanLayout!Z19&amp;CHAR(10)&amp;IFERROR(IF(INDEX(tblStellplatz[SAP],MATCH(PlanLayout!Z19,tblStellplatz[Stellplatz],0))="","leer",IF(LEFT(RIGHT(INDEX(tblStellplatz[SAP],MATCH(PlanLayout!Z19,tblStellplatz[Stellplatz],0)),4),1)="0",RIGHT(INDEX(tblStellplatz[SAP],MATCH(PlanLayout!Z19,tblStellplatz[Stellplatz],0)),5),RIGHT(INDEX(tblStellplatz[SAP],MATCH(PlanLayout!Z19,tblStellplatz[Stellplatz],0)),4))),"?"))</f>
        <v/>
      </c>
      <c r="AA19" s="4">
        <f>IF(PlanLayout!AA19="","",PlanLayout!AA19&amp;CHAR(10)&amp;IFERROR(IF(INDEX(tblStellplatz[SAP],MATCH(PlanLayout!AA19,tblStellplatz[Stellplatz],0))="","leer",IF(LEFT(RIGHT(INDEX(tblStellplatz[SAP],MATCH(PlanLayout!AA19,tblStellplatz[Stellplatz],0)),4),1)="0",RIGHT(INDEX(tblStellplatz[SAP],MATCH(PlanLayout!AA19,tblStellplatz[Stellplatz],0)),5),RIGHT(INDEX(tblStellplatz[SAP],MATCH(PlanLayout!AA19,tblStellplatz[Stellplatz],0)),4))),"?"))</f>
        <v/>
      </c>
      <c r="AB19" s="4">
        <f>IF(PlanLayout!AB19="","",PlanLayout!AB19&amp;CHAR(10)&amp;IFERROR(IF(INDEX(tblStellplatz[SAP],MATCH(PlanLayout!AB19,tblStellplatz[Stellplatz],0))="","leer",IF(LEFT(RIGHT(INDEX(tblStellplatz[SAP],MATCH(PlanLayout!AB19,tblStellplatz[Stellplatz],0)),4),1)="0",RIGHT(INDEX(tblStellplatz[SAP],MATCH(PlanLayout!AB19,tblStellplatz[Stellplatz],0)),5),RIGHT(INDEX(tblStellplatz[SAP],MATCH(PlanLayout!AB19,tblStellplatz[Stellplatz],0)),4))),"?"))</f>
        <v/>
      </c>
      <c r="AC19" s="4">
        <f>IF(PlanLayout!AC19="","",PlanLayout!AC19&amp;CHAR(10)&amp;IFERROR(IF(INDEX(tblStellplatz[SAP],MATCH(PlanLayout!AC19,tblStellplatz[Stellplatz],0))="","leer",IF(LEFT(RIGHT(INDEX(tblStellplatz[SAP],MATCH(PlanLayout!AC19,tblStellplatz[Stellplatz],0)),4),1)="0",RIGHT(INDEX(tblStellplatz[SAP],MATCH(PlanLayout!AC19,tblStellplatz[Stellplatz],0)),5),RIGHT(INDEX(tblStellplatz[SAP],MATCH(PlanLayout!AC19,tblStellplatz[Stellplatz],0)),4))),"?"))</f>
        <v/>
      </c>
      <c r="AD19" s="4">
        <f>IF(PlanLayout!AD19="","",PlanLayout!AD19&amp;CHAR(10)&amp;IFERROR(IF(INDEX(tblStellplatz[SAP],MATCH(PlanLayout!AD19,tblStellplatz[Stellplatz],0))="","leer",IF(LEFT(RIGHT(INDEX(tblStellplatz[SAP],MATCH(PlanLayout!AD19,tblStellplatz[Stellplatz],0)),4),1)="0",RIGHT(INDEX(tblStellplatz[SAP],MATCH(PlanLayout!AD19,tblStellplatz[Stellplatz],0)),5),RIGHT(INDEX(tblStellplatz[SAP],MATCH(PlanLayout!AD19,tblStellplatz[Stellplatz],0)),4))),"?"))</f>
        <v/>
      </c>
      <c r="AE19" s="4">
        <f>IF(PlanLayout!AE19="","",PlanLayout!AE19&amp;CHAR(10)&amp;IFERROR(IF(INDEX(tblStellplatz[SAP],MATCH(PlanLayout!AE19,tblStellplatz[Stellplatz],0))="","leer",IF(LEFT(RIGHT(INDEX(tblStellplatz[SAP],MATCH(PlanLayout!AE19,tblStellplatz[Stellplatz],0)),4),1)="0",RIGHT(INDEX(tblStellplatz[SAP],MATCH(PlanLayout!AE19,tblStellplatz[Stellplatz],0)),5),RIGHT(INDEX(tblStellplatz[SAP],MATCH(PlanLayout!AE19,tblStellplatz[Stellplatz],0)),4))),"?"))</f>
        <v/>
      </c>
      <c r="AF19" s="4">
        <f>IF(PlanLayout!AF19="","",PlanLayout!AF19&amp;CHAR(10)&amp;IFERROR(IF(INDEX(tblStellplatz[SAP],MATCH(PlanLayout!AF19,tblStellplatz[Stellplatz],0))="","leer",IF(LEFT(RIGHT(INDEX(tblStellplatz[SAP],MATCH(PlanLayout!AF19,tblStellplatz[Stellplatz],0)),4),1)="0",RIGHT(INDEX(tblStellplatz[SAP],MATCH(PlanLayout!AF19,tblStellplatz[Stellplatz],0)),5),RIGHT(INDEX(tblStellplatz[SAP],MATCH(PlanLayout!AF19,tblStellplatz[Stellplatz],0)),4))),"?"))</f>
        <v/>
      </c>
      <c r="AG19" s="4">
        <f>IF(PlanLayout!AG19="","",PlanLayout!AG19&amp;CHAR(10)&amp;IFERROR(IF(INDEX(tblStellplatz[SAP],MATCH(PlanLayout!AG19,tblStellplatz[Stellplatz],0))="","leer",IF(LEFT(RIGHT(INDEX(tblStellplatz[SAP],MATCH(PlanLayout!AG19,tblStellplatz[Stellplatz],0)),4),1)="0",RIGHT(INDEX(tblStellplatz[SAP],MATCH(PlanLayout!AG19,tblStellplatz[Stellplatz],0)),5),RIGHT(INDEX(tblStellplatz[SAP],MATCH(PlanLayout!AG19,tblStellplatz[Stellplatz],0)),4))),"?"))</f>
        <v/>
      </c>
      <c r="AH19" s="4">
        <f>IF(PlanLayout!AH19="","",PlanLayout!AH19&amp;CHAR(10)&amp;IFERROR(IF(INDEX(tblStellplatz[SAP],MATCH(PlanLayout!AH19,tblStellplatz[Stellplatz],0))="","leer",IF(LEFT(RIGHT(INDEX(tblStellplatz[SAP],MATCH(PlanLayout!AH19,tblStellplatz[Stellplatz],0)),4),1)="0",RIGHT(INDEX(tblStellplatz[SAP],MATCH(PlanLayout!AH19,tblStellplatz[Stellplatz],0)),5),RIGHT(INDEX(tblStellplatz[SAP],MATCH(PlanLayout!AH19,tblStellplatz[Stellplatz],0)),4))),"?"))</f>
        <v/>
      </c>
      <c r="AI19" s="4">
        <f>IF(PlanLayout!AI19="","",PlanLayout!AI19&amp;CHAR(10)&amp;IFERROR(IF(INDEX(tblStellplatz[SAP],MATCH(PlanLayout!AI19,tblStellplatz[Stellplatz],0))="","leer",IF(LEFT(RIGHT(INDEX(tblStellplatz[SAP],MATCH(PlanLayout!AI19,tblStellplatz[Stellplatz],0)),4),1)="0",RIGHT(INDEX(tblStellplatz[SAP],MATCH(PlanLayout!AI19,tblStellplatz[Stellplatz],0)),5),RIGHT(INDEX(tblStellplatz[SAP],MATCH(PlanLayout!AI19,tblStellplatz[Stellplatz],0)),4))),"?"))</f>
        <v/>
      </c>
      <c r="AJ19" s="4">
        <f>IF(PlanLayout!AJ19="","",PlanLayout!AJ19&amp;CHAR(10)&amp;IFERROR(IF(INDEX(tblStellplatz[SAP],MATCH(PlanLayout!AJ19,tblStellplatz[Stellplatz],0))="","leer",IF(LEFT(RIGHT(INDEX(tblStellplatz[SAP],MATCH(PlanLayout!AJ19,tblStellplatz[Stellplatz],0)),4),1)="0",RIGHT(INDEX(tblStellplatz[SAP],MATCH(PlanLayout!AJ19,tblStellplatz[Stellplatz],0)),5),RIGHT(INDEX(tblStellplatz[SAP],MATCH(PlanLayout!AJ19,tblStellplatz[Stellplatz],0)),4))),"?"))</f>
        <v/>
      </c>
      <c r="AK19" s="4">
        <f>IF(PlanLayout!AK19="","",PlanLayout!AK19&amp;CHAR(10)&amp;IFERROR(IF(INDEX(tblStellplatz[SAP],MATCH(PlanLayout!AK19,tblStellplatz[Stellplatz],0))="","leer",IF(LEFT(RIGHT(INDEX(tblStellplatz[SAP],MATCH(PlanLayout!AK19,tblStellplatz[Stellplatz],0)),4),1)="0",RIGHT(INDEX(tblStellplatz[SAP],MATCH(PlanLayout!AK19,tblStellplatz[Stellplatz],0)),5),RIGHT(INDEX(tblStellplatz[SAP],MATCH(PlanLayout!AK19,tblStellplatz[Stellplatz],0)),4))),"?"))</f>
        <v/>
      </c>
      <c r="AL19" s="4">
        <f>IF(PlanLayout!AL19="","",PlanLayout!AL19&amp;CHAR(10)&amp;IFERROR(IF(INDEX(tblStellplatz[SAP],MATCH(PlanLayout!AL19,tblStellplatz[Stellplatz],0))="","leer",IF(LEFT(RIGHT(INDEX(tblStellplatz[SAP],MATCH(PlanLayout!AL19,tblStellplatz[Stellplatz],0)),4),1)="0",RIGHT(INDEX(tblStellplatz[SAP],MATCH(PlanLayout!AL19,tblStellplatz[Stellplatz],0)),5),RIGHT(INDEX(tblStellplatz[SAP],MATCH(PlanLayout!AL19,tblStellplatz[Stellplatz],0)),4))),"?"))</f>
        <v/>
      </c>
      <c r="AM19" s="4">
        <f>IF(PlanLayout!AM19="","",PlanLayout!AM19&amp;CHAR(10)&amp;IFERROR(IF(INDEX(tblStellplatz[SAP],MATCH(PlanLayout!AM19,tblStellplatz[Stellplatz],0))="","leer",IF(LEFT(RIGHT(INDEX(tblStellplatz[SAP],MATCH(PlanLayout!AM19,tblStellplatz[Stellplatz],0)),4),1)="0",RIGHT(INDEX(tblStellplatz[SAP],MATCH(PlanLayout!AM19,tblStellplatz[Stellplatz],0)),5),RIGHT(INDEX(tblStellplatz[SAP],MATCH(PlanLayout!AM19,tblStellplatz[Stellplatz],0)),4))),"?"))</f>
        <v/>
      </c>
      <c r="AN19" s="4">
        <f>IF(PlanLayout!AN19="","",PlanLayout!AN19&amp;CHAR(10)&amp;IFERROR(IF(INDEX(tblStellplatz[SAP],MATCH(PlanLayout!AN19,tblStellplatz[Stellplatz],0))="","leer",IF(LEFT(RIGHT(INDEX(tblStellplatz[SAP],MATCH(PlanLayout!AN19,tblStellplatz[Stellplatz],0)),4),1)="0",RIGHT(INDEX(tblStellplatz[SAP],MATCH(PlanLayout!AN19,tblStellplatz[Stellplatz],0)),5),RIGHT(INDEX(tblStellplatz[SAP],MATCH(PlanLayout!AN19,tblStellplatz[Stellplatz],0)),4))),"?"))</f>
        <v/>
      </c>
      <c r="AO19" s="4">
        <f>IF(PlanLayout!AO19="","",PlanLayout!AO19&amp;CHAR(10)&amp;IFERROR(IF(INDEX(tblStellplatz[SAP],MATCH(PlanLayout!AO19,tblStellplatz[Stellplatz],0))="","leer",IF(LEFT(RIGHT(INDEX(tblStellplatz[SAP],MATCH(PlanLayout!AO19,tblStellplatz[Stellplatz],0)),4),1)="0",RIGHT(INDEX(tblStellplatz[SAP],MATCH(PlanLayout!AO19,tblStellplatz[Stellplatz],0)),5),RIGHT(INDEX(tblStellplatz[SAP],MATCH(PlanLayout!AO19,tblStellplatz[Stellplatz],0)),4))),"?"))</f>
        <v/>
      </c>
    </row>
    <row r="20" ht="30" customHeight="1">
      <c r="B20" s="4">
        <f>IF(PlanLayout!B20="","",PlanLayout!B20&amp;CHAR(10)&amp;IFERROR(IF(INDEX(tblStellplatz[SAP],MATCH(PlanLayout!B20,tblStellplatz[Stellplatz],0))="","leer",IF(LEFT(RIGHT(INDEX(tblStellplatz[SAP],MATCH(PlanLayout!B20,tblStellplatz[Stellplatz],0)),4),1)="0",RIGHT(INDEX(tblStellplatz[SAP],MATCH(PlanLayout!B20,tblStellplatz[Stellplatz],0)),5),RIGHT(INDEX(tblStellplatz[SAP],MATCH(PlanLayout!B20,tblStellplatz[Stellplatz],0)),4))),"?"))</f>
        <v/>
      </c>
      <c r="C20" s="4">
        <f>IF(PlanLayout!C20="","",PlanLayout!C20&amp;CHAR(10)&amp;IFERROR(IF(INDEX(tblStellplatz[SAP],MATCH(PlanLayout!C20,tblStellplatz[Stellplatz],0))="","leer",IF(LEFT(RIGHT(INDEX(tblStellplatz[SAP],MATCH(PlanLayout!C20,tblStellplatz[Stellplatz],0)),4),1)="0",RIGHT(INDEX(tblStellplatz[SAP],MATCH(PlanLayout!C20,tblStellplatz[Stellplatz],0)),5),RIGHT(INDEX(tblStellplatz[SAP],MATCH(PlanLayout!C20,tblStellplatz[Stellplatz],0)),4))),"?"))</f>
        <v/>
      </c>
      <c r="D20" s="4">
        <f>IF(PlanLayout!D20="","",PlanLayout!D20&amp;CHAR(10)&amp;IFERROR(IF(INDEX(tblStellplatz[SAP],MATCH(PlanLayout!D20,tblStellplatz[Stellplatz],0))="","leer",IF(LEFT(RIGHT(INDEX(tblStellplatz[SAP],MATCH(PlanLayout!D20,tblStellplatz[Stellplatz],0)),4),1)="0",RIGHT(INDEX(tblStellplatz[SAP],MATCH(PlanLayout!D20,tblStellplatz[Stellplatz],0)),5),RIGHT(INDEX(tblStellplatz[SAP],MATCH(PlanLayout!D20,tblStellplatz[Stellplatz],0)),4))),"?"))</f>
        <v/>
      </c>
      <c r="E20" s="4">
        <f>IF(PlanLayout!E20="","",PlanLayout!E20&amp;CHAR(10)&amp;IFERROR(IF(INDEX(tblStellplatz[SAP],MATCH(PlanLayout!E20,tblStellplatz[Stellplatz],0))="","leer",IF(LEFT(RIGHT(INDEX(tblStellplatz[SAP],MATCH(PlanLayout!E20,tblStellplatz[Stellplatz],0)),4),1)="0",RIGHT(INDEX(tblStellplatz[SAP],MATCH(PlanLayout!E20,tblStellplatz[Stellplatz],0)),5),RIGHT(INDEX(tblStellplatz[SAP],MATCH(PlanLayout!E20,tblStellplatz[Stellplatz],0)),4))),"?"))</f>
        <v/>
      </c>
      <c r="F20" s="4">
        <f>IF(PlanLayout!F20="","",PlanLayout!F20&amp;CHAR(10)&amp;IFERROR(IF(INDEX(tblStellplatz[SAP],MATCH(PlanLayout!F20,tblStellplatz[Stellplatz],0))="","leer",IF(LEFT(RIGHT(INDEX(tblStellplatz[SAP],MATCH(PlanLayout!F20,tblStellplatz[Stellplatz],0)),4),1)="0",RIGHT(INDEX(tblStellplatz[SAP],MATCH(PlanLayout!F20,tblStellplatz[Stellplatz],0)),5),RIGHT(INDEX(tblStellplatz[SAP],MATCH(PlanLayout!F20,tblStellplatz[Stellplatz],0)),4))),"?"))</f>
        <v/>
      </c>
      <c r="G20" s="4">
        <f>IF(PlanLayout!G20="","",PlanLayout!G20&amp;CHAR(10)&amp;IFERROR(IF(INDEX(tblStellplatz[SAP],MATCH(PlanLayout!G20,tblStellplatz[Stellplatz],0))="","leer",IF(LEFT(RIGHT(INDEX(tblStellplatz[SAP],MATCH(PlanLayout!G20,tblStellplatz[Stellplatz],0)),4),1)="0",RIGHT(INDEX(tblStellplatz[SAP],MATCH(PlanLayout!G20,tblStellplatz[Stellplatz],0)),5),RIGHT(INDEX(tblStellplatz[SAP],MATCH(PlanLayout!G20,tblStellplatz[Stellplatz],0)),4))),"?"))</f>
        <v/>
      </c>
      <c r="H20" s="4">
        <f>IF(PlanLayout!H20="","",PlanLayout!H20&amp;CHAR(10)&amp;IFERROR(IF(INDEX(tblStellplatz[SAP],MATCH(PlanLayout!H20,tblStellplatz[Stellplatz],0))="","leer",IF(LEFT(RIGHT(INDEX(tblStellplatz[SAP],MATCH(PlanLayout!H20,tblStellplatz[Stellplatz],0)),4),1)="0",RIGHT(INDEX(tblStellplatz[SAP],MATCH(PlanLayout!H20,tblStellplatz[Stellplatz],0)),5),RIGHT(INDEX(tblStellplatz[SAP],MATCH(PlanLayout!H20,tblStellplatz[Stellplatz],0)),4))),"?"))</f>
        <v/>
      </c>
      <c r="I20" s="4">
        <f>IF(PlanLayout!I20="","",PlanLayout!I20&amp;CHAR(10)&amp;IFERROR(IF(INDEX(tblStellplatz[SAP],MATCH(PlanLayout!I20,tblStellplatz[Stellplatz],0))="","leer",IF(LEFT(RIGHT(INDEX(tblStellplatz[SAP],MATCH(PlanLayout!I20,tblStellplatz[Stellplatz],0)),4),1)="0",RIGHT(INDEX(tblStellplatz[SAP],MATCH(PlanLayout!I20,tblStellplatz[Stellplatz],0)),5),RIGHT(INDEX(tblStellplatz[SAP],MATCH(PlanLayout!I20,tblStellplatz[Stellplatz],0)),4))),"?"))</f>
        <v/>
      </c>
      <c r="J20" s="4">
        <f>IF(PlanLayout!J20="","",PlanLayout!J20&amp;CHAR(10)&amp;IFERROR(IF(INDEX(tblStellplatz[SAP],MATCH(PlanLayout!J20,tblStellplatz[Stellplatz],0))="","leer",IF(LEFT(RIGHT(INDEX(tblStellplatz[SAP],MATCH(PlanLayout!J20,tblStellplatz[Stellplatz],0)),4),1)="0",RIGHT(INDEX(tblStellplatz[SAP],MATCH(PlanLayout!J20,tblStellplatz[Stellplatz],0)),5),RIGHT(INDEX(tblStellplatz[SAP],MATCH(PlanLayout!J20,tblStellplatz[Stellplatz],0)),4))),"?"))</f>
        <v/>
      </c>
      <c r="K20" s="4">
        <f>IF(PlanLayout!K20="","",PlanLayout!K20&amp;CHAR(10)&amp;IFERROR(IF(INDEX(tblStellplatz[SAP],MATCH(PlanLayout!K20,tblStellplatz[Stellplatz],0))="","leer",IF(LEFT(RIGHT(INDEX(tblStellplatz[SAP],MATCH(PlanLayout!K20,tblStellplatz[Stellplatz],0)),4),1)="0",RIGHT(INDEX(tblStellplatz[SAP],MATCH(PlanLayout!K20,tblStellplatz[Stellplatz],0)),5),RIGHT(INDEX(tblStellplatz[SAP],MATCH(PlanLayout!K20,tblStellplatz[Stellplatz],0)),4))),"?"))</f>
        <v/>
      </c>
      <c r="L20" s="4">
        <f>IF(PlanLayout!L20="","",PlanLayout!L20&amp;CHAR(10)&amp;IFERROR(IF(INDEX(tblStellplatz[SAP],MATCH(PlanLayout!L20,tblStellplatz[Stellplatz],0))="","leer",IF(LEFT(RIGHT(INDEX(tblStellplatz[SAP],MATCH(PlanLayout!L20,tblStellplatz[Stellplatz],0)),4),1)="0",RIGHT(INDEX(tblStellplatz[SAP],MATCH(PlanLayout!L20,tblStellplatz[Stellplatz],0)),5),RIGHT(INDEX(tblStellplatz[SAP],MATCH(PlanLayout!L20,tblStellplatz[Stellplatz],0)),4))),"?"))</f>
        <v/>
      </c>
      <c r="M20" s="4">
        <f>IF(PlanLayout!M20="","",PlanLayout!M20&amp;CHAR(10)&amp;IFERROR(IF(INDEX(tblStellplatz[SAP],MATCH(PlanLayout!M20,tblStellplatz[Stellplatz],0))="","leer",IF(LEFT(RIGHT(INDEX(tblStellplatz[SAP],MATCH(PlanLayout!M20,tblStellplatz[Stellplatz],0)),4),1)="0",RIGHT(INDEX(tblStellplatz[SAP],MATCH(PlanLayout!M20,tblStellplatz[Stellplatz],0)),5),RIGHT(INDEX(tblStellplatz[SAP],MATCH(PlanLayout!M20,tblStellplatz[Stellplatz],0)),4))),"?"))</f>
        <v/>
      </c>
      <c r="N20" s="4">
        <f>IF(PlanLayout!N20="","",PlanLayout!N20&amp;CHAR(10)&amp;IFERROR(IF(INDEX(tblStellplatz[SAP],MATCH(PlanLayout!N20,tblStellplatz[Stellplatz],0))="","leer",IF(LEFT(RIGHT(INDEX(tblStellplatz[SAP],MATCH(PlanLayout!N20,tblStellplatz[Stellplatz],0)),4),1)="0",RIGHT(INDEX(tblStellplatz[SAP],MATCH(PlanLayout!N20,tblStellplatz[Stellplatz],0)),5),RIGHT(INDEX(tblStellplatz[SAP],MATCH(PlanLayout!N20,tblStellplatz[Stellplatz],0)),4))),"?"))</f>
        <v/>
      </c>
      <c r="O20" s="4">
        <f>IF(PlanLayout!O20="","",PlanLayout!O20&amp;CHAR(10)&amp;IFERROR(IF(INDEX(tblStellplatz[SAP],MATCH(PlanLayout!O20,tblStellplatz[Stellplatz],0))="","leer",IF(LEFT(RIGHT(INDEX(tblStellplatz[SAP],MATCH(PlanLayout!O20,tblStellplatz[Stellplatz],0)),4),1)="0",RIGHT(INDEX(tblStellplatz[SAP],MATCH(PlanLayout!O20,tblStellplatz[Stellplatz],0)),5),RIGHT(INDEX(tblStellplatz[SAP],MATCH(PlanLayout!O20,tblStellplatz[Stellplatz],0)),4))),"?"))</f>
        <v/>
      </c>
      <c r="P20" s="4">
        <f>IF(PlanLayout!P20="","",PlanLayout!P20&amp;CHAR(10)&amp;IFERROR(IF(INDEX(tblStellplatz[SAP],MATCH(PlanLayout!P20,tblStellplatz[Stellplatz],0))="","leer",IF(LEFT(RIGHT(INDEX(tblStellplatz[SAP],MATCH(PlanLayout!P20,tblStellplatz[Stellplatz],0)),4),1)="0",RIGHT(INDEX(tblStellplatz[SAP],MATCH(PlanLayout!P20,tblStellplatz[Stellplatz],0)),5),RIGHT(INDEX(tblStellplatz[SAP],MATCH(PlanLayout!P20,tblStellplatz[Stellplatz],0)),4))),"?"))</f>
        <v/>
      </c>
      <c r="Q20" s="4">
        <f>IF(PlanLayout!Q20="","",PlanLayout!Q20&amp;CHAR(10)&amp;IFERROR(IF(INDEX(tblStellplatz[SAP],MATCH(PlanLayout!Q20,tblStellplatz[Stellplatz],0))="","leer",IF(LEFT(RIGHT(INDEX(tblStellplatz[SAP],MATCH(PlanLayout!Q20,tblStellplatz[Stellplatz],0)),4),1)="0",RIGHT(INDEX(tblStellplatz[SAP],MATCH(PlanLayout!Q20,tblStellplatz[Stellplatz],0)),5),RIGHT(INDEX(tblStellplatz[SAP],MATCH(PlanLayout!Q20,tblStellplatz[Stellplatz],0)),4))),"?"))</f>
        <v/>
      </c>
      <c r="R20" s="4">
        <f>IF(PlanLayout!R20="","",PlanLayout!R20&amp;CHAR(10)&amp;IFERROR(IF(INDEX(tblStellplatz[SAP],MATCH(PlanLayout!R20,tblStellplatz[Stellplatz],0))="","leer",IF(LEFT(RIGHT(INDEX(tblStellplatz[SAP],MATCH(PlanLayout!R20,tblStellplatz[Stellplatz],0)),4),1)="0",RIGHT(INDEX(tblStellplatz[SAP],MATCH(PlanLayout!R20,tblStellplatz[Stellplatz],0)),5),RIGHT(INDEX(tblStellplatz[SAP],MATCH(PlanLayout!R20,tblStellplatz[Stellplatz],0)),4))),"?"))</f>
        <v/>
      </c>
      <c r="S20" s="4">
        <f>IF(PlanLayout!S20="","",PlanLayout!S20&amp;CHAR(10)&amp;IFERROR(IF(INDEX(tblStellplatz[SAP],MATCH(PlanLayout!S20,tblStellplatz[Stellplatz],0))="","leer",IF(LEFT(RIGHT(INDEX(tblStellplatz[SAP],MATCH(PlanLayout!S20,tblStellplatz[Stellplatz],0)),4),1)="0",RIGHT(INDEX(tblStellplatz[SAP],MATCH(PlanLayout!S20,tblStellplatz[Stellplatz],0)),5),RIGHT(INDEX(tblStellplatz[SAP],MATCH(PlanLayout!S20,tblStellplatz[Stellplatz],0)),4))),"?"))</f>
        <v/>
      </c>
      <c r="T20" s="4">
        <f>IF(PlanLayout!T20="","",PlanLayout!T20&amp;CHAR(10)&amp;IFERROR(IF(INDEX(tblStellplatz[SAP],MATCH(PlanLayout!T20,tblStellplatz[Stellplatz],0))="","leer",IF(LEFT(RIGHT(INDEX(tblStellplatz[SAP],MATCH(PlanLayout!T20,tblStellplatz[Stellplatz],0)),4),1)="0",RIGHT(INDEX(tblStellplatz[SAP],MATCH(PlanLayout!T20,tblStellplatz[Stellplatz],0)),5),RIGHT(INDEX(tblStellplatz[SAP],MATCH(PlanLayout!T20,tblStellplatz[Stellplatz],0)),4))),"?"))</f>
        <v/>
      </c>
      <c r="U20" s="4">
        <f>IF(PlanLayout!U20="","",PlanLayout!U20&amp;CHAR(10)&amp;IFERROR(IF(INDEX(tblStellplatz[SAP],MATCH(PlanLayout!U20,tblStellplatz[Stellplatz],0))="","leer",IF(LEFT(RIGHT(INDEX(tblStellplatz[SAP],MATCH(PlanLayout!U20,tblStellplatz[Stellplatz],0)),4),1)="0",RIGHT(INDEX(tblStellplatz[SAP],MATCH(PlanLayout!U20,tblStellplatz[Stellplatz],0)),5),RIGHT(INDEX(tblStellplatz[SAP],MATCH(PlanLayout!U20,tblStellplatz[Stellplatz],0)),4))),"?"))</f>
        <v/>
      </c>
      <c r="V20" s="4">
        <f>IF(PlanLayout!V20="","",PlanLayout!V20&amp;CHAR(10)&amp;IFERROR(IF(INDEX(tblStellplatz[SAP],MATCH(PlanLayout!V20,tblStellplatz[Stellplatz],0))="","leer",IF(LEFT(RIGHT(INDEX(tblStellplatz[SAP],MATCH(PlanLayout!V20,tblStellplatz[Stellplatz],0)),4),1)="0",RIGHT(INDEX(tblStellplatz[SAP],MATCH(PlanLayout!V20,tblStellplatz[Stellplatz],0)),5),RIGHT(INDEX(tblStellplatz[SAP],MATCH(PlanLayout!V20,tblStellplatz[Stellplatz],0)),4))),"?"))</f>
        <v/>
      </c>
      <c r="W20" s="4">
        <f>IF(PlanLayout!W20="","",PlanLayout!W20&amp;CHAR(10)&amp;IFERROR(IF(INDEX(tblStellplatz[SAP],MATCH(PlanLayout!W20,tblStellplatz[Stellplatz],0))="","leer",IF(LEFT(RIGHT(INDEX(tblStellplatz[SAP],MATCH(PlanLayout!W20,tblStellplatz[Stellplatz],0)),4),1)="0",RIGHT(INDEX(tblStellplatz[SAP],MATCH(PlanLayout!W20,tblStellplatz[Stellplatz],0)),5),RIGHT(INDEX(tblStellplatz[SAP],MATCH(PlanLayout!W20,tblStellplatz[Stellplatz],0)),4))),"?"))</f>
        <v/>
      </c>
      <c r="X20" s="4">
        <f>IF(PlanLayout!X20="","",PlanLayout!X20&amp;CHAR(10)&amp;IFERROR(IF(INDEX(tblStellplatz[SAP],MATCH(PlanLayout!X20,tblStellplatz[Stellplatz],0))="","leer",IF(LEFT(RIGHT(INDEX(tblStellplatz[SAP],MATCH(PlanLayout!X20,tblStellplatz[Stellplatz],0)),4),1)="0",RIGHT(INDEX(tblStellplatz[SAP],MATCH(PlanLayout!X20,tblStellplatz[Stellplatz],0)),5),RIGHT(INDEX(tblStellplatz[SAP],MATCH(PlanLayout!X20,tblStellplatz[Stellplatz],0)),4))),"?"))</f>
        <v/>
      </c>
      <c r="Y20" s="4">
        <f>IF(PlanLayout!Y20="","",PlanLayout!Y20&amp;CHAR(10)&amp;IFERROR(IF(INDEX(tblStellplatz[SAP],MATCH(PlanLayout!Y20,tblStellplatz[Stellplatz],0))="","leer",IF(LEFT(RIGHT(INDEX(tblStellplatz[SAP],MATCH(PlanLayout!Y20,tblStellplatz[Stellplatz],0)),4),1)="0",RIGHT(INDEX(tblStellplatz[SAP],MATCH(PlanLayout!Y20,tblStellplatz[Stellplatz],0)),5),RIGHT(INDEX(tblStellplatz[SAP],MATCH(PlanLayout!Y20,tblStellplatz[Stellplatz],0)),4))),"?"))</f>
        <v/>
      </c>
      <c r="Z20" s="4">
        <f>IF(PlanLayout!Z20="","",PlanLayout!Z20&amp;CHAR(10)&amp;IFERROR(IF(INDEX(tblStellplatz[SAP],MATCH(PlanLayout!Z20,tblStellplatz[Stellplatz],0))="","leer",IF(LEFT(RIGHT(INDEX(tblStellplatz[SAP],MATCH(PlanLayout!Z20,tblStellplatz[Stellplatz],0)),4),1)="0",RIGHT(INDEX(tblStellplatz[SAP],MATCH(PlanLayout!Z20,tblStellplatz[Stellplatz],0)),5),RIGHT(INDEX(tblStellplatz[SAP],MATCH(PlanLayout!Z20,tblStellplatz[Stellplatz],0)),4))),"?"))</f>
        <v/>
      </c>
      <c r="AA20" s="4">
        <f>IF(PlanLayout!AA20="","",PlanLayout!AA20&amp;CHAR(10)&amp;IFERROR(IF(INDEX(tblStellplatz[SAP],MATCH(PlanLayout!AA20,tblStellplatz[Stellplatz],0))="","leer",IF(LEFT(RIGHT(INDEX(tblStellplatz[SAP],MATCH(PlanLayout!AA20,tblStellplatz[Stellplatz],0)),4),1)="0",RIGHT(INDEX(tblStellplatz[SAP],MATCH(PlanLayout!AA20,tblStellplatz[Stellplatz],0)),5),RIGHT(INDEX(tblStellplatz[SAP],MATCH(PlanLayout!AA20,tblStellplatz[Stellplatz],0)),4))),"?"))</f>
        <v/>
      </c>
      <c r="AB20" s="4">
        <f>IF(PlanLayout!AB20="","",PlanLayout!AB20&amp;CHAR(10)&amp;IFERROR(IF(INDEX(tblStellplatz[SAP],MATCH(PlanLayout!AB20,tblStellplatz[Stellplatz],0))="","leer",IF(LEFT(RIGHT(INDEX(tblStellplatz[SAP],MATCH(PlanLayout!AB20,tblStellplatz[Stellplatz],0)),4),1)="0",RIGHT(INDEX(tblStellplatz[SAP],MATCH(PlanLayout!AB20,tblStellplatz[Stellplatz],0)),5),RIGHT(INDEX(tblStellplatz[SAP],MATCH(PlanLayout!AB20,tblStellplatz[Stellplatz],0)),4))),"?"))</f>
        <v/>
      </c>
      <c r="AC20" s="4">
        <f>IF(PlanLayout!AC20="","",PlanLayout!AC20&amp;CHAR(10)&amp;IFERROR(IF(INDEX(tblStellplatz[SAP],MATCH(PlanLayout!AC20,tblStellplatz[Stellplatz],0))="","leer",IF(LEFT(RIGHT(INDEX(tblStellplatz[SAP],MATCH(PlanLayout!AC20,tblStellplatz[Stellplatz],0)),4),1)="0",RIGHT(INDEX(tblStellplatz[SAP],MATCH(PlanLayout!AC20,tblStellplatz[Stellplatz],0)),5),RIGHT(INDEX(tblStellplatz[SAP],MATCH(PlanLayout!AC20,tblStellplatz[Stellplatz],0)),4))),"?"))</f>
        <v/>
      </c>
      <c r="AD20" s="4">
        <f>IF(PlanLayout!AD20="","",PlanLayout!AD20&amp;CHAR(10)&amp;IFERROR(IF(INDEX(tblStellplatz[SAP],MATCH(PlanLayout!AD20,tblStellplatz[Stellplatz],0))="","leer",IF(LEFT(RIGHT(INDEX(tblStellplatz[SAP],MATCH(PlanLayout!AD20,tblStellplatz[Stellplatz],0)),4),1)="0",RIGHT(INDEX(tblStellplatz[SAP],MATCH(PlanLayout!AD20,tblStellplatz[Stellplatz],0)),5),RIGHT(INDEX(tblStellplatz[SAP],MATCH(PlanLayout!AD20,tblStellplatz[Stellplatz],0)),4))),"?"))</f>
        <v/>
      </c>
      <c r="AE20" s="4">
        <f>IF(PlanLayout!AE20="","",PlanLayout!AE20&amp;CHAR(10)&amp;IFERROR(IF(INDEX(tblStellplatz[SAP],MATCH(PlanLayout!AE20,tblStellplatz[Stellplatz],0))="","leer",IF(LEFT(RIGHT(INDEX(tblStellplatz[SAP],MATCH(PlanLayout!AE20,tblStellplatz[Stellplatz],0)),4),1)="0",RIGHT(INDEX(tblStellplatz[SAP],MATCH(PlanLayout!AE20,tblStellplatz[Stellplatz],0)),5),RIGHT(INDEX(tblStellplatz[SAP],MATCH(PlanLayout!AE20,tblStellplatz[Stellplatz],0)),4))),"?"))</f>
        <v/>
      </c>
      <c r="AF20" s="4">
        <f>IF(PlanLayout!AF20="","",PlanLayout!AF20&amp;CHAR(10)&amp;IFERROR(IF(INDEX(tblStellplatz[SAP],MATCH(PlanLayout!AF20,tblStellplatz[Stellplatz],0))="","leer",IF(LEFT(RIGHT(INDEX(tblStellplatz[SAP],MATCH(PlanLayout!AF20,tblStellplatz[Stellplatz],0)),4),1)="0",RIGHT(INDEX(tblStellplatz[SAP],MATCH(PlanLayout!AF20,tblStellplatz[Stellplatz],0)),5),RIGHT(INDEX(tblStellplatz[SAP],MATCH(PlanLayout!AF20,tblStellplatz[Stellplatz],0)),4))),"?"))</f>
        <v/>
      </c>
      <c r="AG20" s="4">
        <f>IF(PlanLayout!AG20="","",PlanLayout!AG20&amp;CHAR(10)&amp;IFERROR(IF(INDEX(tblStellplatz[SAP],MATCH(PlanLayout!AG20,tblStellplatz[Stellplatz],0))="","leer",IF(LEFT(RIGHT(INDEX(tblStellplatz[SAP],MATCH(PlanLayout!AG20,tblStellplatz[Stellplatz],0)),4),1)="0",RIGHT(INDEX(tblStellplatz[SAP],MATCH(PlanLayout!AG20,tblStellplatz[Stellplatz],0)),5),RIGHT(INDEX(tblStellplatz[SAP],MATCH(PlanLayout!AG20,tblStellplatz[Stellplatz],0)),4))),"?"))</f>
        <v/>
      </c>
      <c r="AH20" s="4">
        <f>IF(PlanLayout!AH20="","",PlanLayout!AH20&amp;CHAR(10)&amp;IFERROR(IF(INDEX(tblStellplatz[SAP],MATCH(PlanLayout!AH20,tblStellplatz[Stellplatz],0))="","leer",IF(LEFT(RIGHT(INDEX(tblStellplatz[SAP],MATCH(PlanLayout!AH20,tblStellplatz[Stellplatz],0)),4),1)="0",RIGHT(INDEX(tblStellplatz[SAP],MATCH(PlanLayout!AH20,tblStellplatz[Stellplatz],0)),5),RIGHT(INDEX(tblStellplatz[SAP],MATCH(PlanLayout!AH20,tblStellplatz[Stellplatz],0)),4))),"?"))</f>
        <v/>
      </c>
      <c r="AI20" s="4">
        <f>IF(PlanLayout!AI20="","",PlanLayout!AI20&amp;CHAR(10)&amp;IFERROR(IF(INDEX(tblStellplatz[SAP],MATCH(PlanLayout!AI20,tblStellplatz[Stellplatz],0))="","leer",IF(LEFT(RIGHT(INDEX(tblStellplatz[SAP],MATCH(PlanLayout!AI20,tblStellplatz[Stellplatz],0)),4),1)="0",RIGHT(INDEX(tblStellplatz[SAP],MATCH(PlanLayout!AI20,tblStellplatz[Stellplatz],0)),5),RIGHT(INDEX(tblStellplatz[SAP],MATCH(PlanLayout!AI20,tblStellplatz[Stellplatz],0)),4))),"?"))</f>
        <v/>
      </c>
      <c r="AJ20" s="4">
        <f>IF(PlanLayout!AJ20="","",PlanLayout!AJ20&amp;CHAR(10)&amp;IFERROR(IF(INDEX(tblStellplatz[SAP],MATCH(PlanLayout!AJ20,tblStellplatz[Stellplatz],0))="","leer",IF(LEFT(RIGHT(INDEX(tblStellplatz[SAP],MATCH(PlanLayout!AJ20,tblStellplatz[Stellplatz],0)),4),1)="0",RIGHT(INDEX(tblStellplatz[SAP],MATCH(PlanLayout!AJ20,tblStellplatz[Stellplatz],0)),5),RIGHT(INDEX(tblStellplatz[SAP],MATCH(PlanLayout!AJ20,tblStellplatz[Stellplatz],0)),4))),"?"))</f>
        <v/>
      </c>
      <c r="AK20" s="4">
        <f>IF(PlanLayout!AK20="","",PlanLayout!AK20&amp;CHAR(10)&amp;IFERROR(IF(INDEX(tblStellplatz[SAP],MATCH(PlanLayout!AK20,tblStellplatz[Stellplatz],0))="","leer",IF(LEFT(RIGHT(INDEX(tblStellplatz[SAP],MATCH(PlanLayout!AK20,tblStellplatz[Stellplatz],0)),4),1)="0",RIGHT(INDEX(tblStellplatz[SAP],MATCH(PlanLayout!AK20,tblStellplatz[Stellplatz],0)),5),RIGHT(INDEX(tblStellplatz[SAP],MATCH(PlanLayout!AK20,tblStellplatz[Stellplatz],0)),4))),"?"))</f>
        <v/>
      </c>
      <c r="AL20" s="4">
        <f>IF(PlanLayout!AL20="","",PlanLayout!AL20&amp;CHAR(10)&amp;IFERROR(IF(INDEX(tblStellplatz[SAP],MATCH(PlanLayout!AL20,tblStellplatz[Stellplatz],0))="","leer",IF(LEFT(RIGHT(INDEX(tblStellplatz[SAP],MATCH(PlanLayout!AL20,tblStellplatz[Stellplatz],0)),4),1)="0",RIGHT(INDEX(tblStellplatz[SAP],MATCH(PlanLayout!AL20,tblStellplatz[Stellplatz],0)),5),RIGHT(INDEX(tblStellplatz[SAP],MATCH(PlanLayout!AL20,tblStellplatz[Stellplatz],0)),4))),"?"))</f>
        <v/>
      </c>
      <c r="AM20" s="4">
        <f>IF(PlanLayout!AM20="","",PlanLayout!AM20&amp;CHAR(10)&amp;IFERROR(IF(INDEX(tblStellplatz[SAP],MATCH(PlanLayout!AM20,tblStellplatz[Stellplatz],0))="","leer",IF(LEFT(RIGHT(INDEX(tblStellplatz[SAP],MATCH(PlanLayout!AM20,tblStellplatz[Stellplatz],0)),4),1)="0",RIGHT(INDEX(tblStellplatz[SAP],MATCH(PlanLayout!AM20,tblStellplatz[Stellplatz],0)),5),RIGHT(INDEX(tblStellplatz[SAP],MATCH(PlanLayout!AM20,tblStellplatz[Stellplatz],0)),4))),"?"))</f>
        <v/>
      </c>
      <c r="AN20" s="4">
        <f>IF(PlanLayout!AN20="","",PlanLayout!AN20&amp;CHAR(10)&amp;IFERROR(IF(INDEX(tblStellplatz[SAP],MATCH(PlanLayout!AN20,tblStellplatz[Stellplatz],0))="","leer",IF(LEFT(RIGHT(INDEX(tblStellplatz[SAP],MATCH(PlanLayout!AN20,tblStellplatz[Stellplatz],0)),4),1)="0",RIGHT(INDEX(tblStellplatz[SAP],MATCH(PlanLayout!AN20,tblStellplatz[Stellplatz],0)),5),RIGHT(INDEX(tblStellplatz[SAP],MATCH(PlanLayout!AN20,tblStellplatz[Stellplatz],0)),4))),"?"))</f>
        <v/>
      </c>
      <c r="AO20" s="4">
        <f>IF(PlanLayout!AO20="","",PlanLayout!AO20&amp;CHAR(10)&amp;IFERROR(IF(INDEX(tblStellplatz[SAP],MATCH(PlanLayout!AO20,tblStellplatz[Stellplatz],0))="","leer",IF(LEFT(RIGHT(INDEX(tblStellplatz[SAP],MATCH(PlanLayout!AO20,tblStellplatz[Stellplatz],0)),4),1)="0",RIGHT(INDEX(tblStellplatz[SAP],MATCH(PlanLayout!AO20,tblStellplatz[Stellplatz],0)),5),RIGHT(INDEX(tblStellplatz[SAP],MATCH(PlanLayout!AO20,tblStellplatz[Stellplatz],0)),4))),"?"))</f>
        <v/>
      </c>
    </row>
    <row r="21" ht="30" customHeight="1">
      <c r="B21" s="4">
        <f>IF(PlanLayout!B21="","",PlanLayout!B21&amp;CHAR(10)&amp;IFERROR(IF(INDEX(tblStellplatz[SAP],MATCH(PlanLayout!B21,tblStellplatz[Stellplatz],0))="","leer",IF(LEFT(RIGHT(INDEX(tblStellplatz[SAP],MATCH(PlanLayout!B21,tblStellplatz[Stellplatz],0)),4),1)="0",RIGHT(INDEX(tblStellplatz[SAP],MATCH(PlanLayout!B21,tblStellplatz[Stellplatz],0)),5),RIGHT(INDEX(tblStellplatz[SAP],MATCH(PlanLayout!B21,tblStellplatz[Stellplatz],0)),4))),"?"))</f>
        <v/>
      </c>
      <c r="C21" s="4">
        <f>IF(PlanLayout!C21="","",PlanLayout!C21&amp;CHAR(10)&amp;IFERROR(IF(INDEX(tblStellplatz[SAP],MATCH(PlanLayout!C21,tblStellplatz[Stellplatz],0))="","leer",IF(LEFT(RIGHT(INDEX(tblStellplatz[SAP],MATCH(PlanLayout!C21,tblStellplatz[Stellplatz],0)),4),1)="0",RIGHT(INDEX(tblStellplatz[SAP],MATCH(PlanLayout!C21,tblStellplatz[Stellplatz],0)),5),RIGHT(INDEX(tblStellplatz[SAP],MATCH(PlanLayout!C21,tblStellplatz[Stellplatz],0)),4))),"?"))</f>
        <v/>
      </c>
      <c r="D21" s="4">
        <f>IF(PlanLayout!D21="","",PlanLayout!D21&amp;CHAR(10)&amp;IFERROR(IF(INDEX(tblStellplatz[SAP],MATCH(PlanLayout!D21,tblStellplatz[Stellplatz],0))="","leer",IF(LEFT(RIGHT(INDEX(tblStellplatz[SAP],MATCH(PlanLayout!D21,tblStellplatz[Stellplatz],0)),4),1)="0",RIGHT(INDEX(tblStellplatz[SAP],MATCH(PlanLayout!D21,tblStellplatz[Stellplatz],0)),5),RIGHT(INDEX(tblStellplatz[SAP],MATCH(PlanLayout!D21,tblStellplatz[Stellplatz],0)),4))),"?"))</f>
        <v/>
      </c>
      <c r="E21" s="4">
        <f>IF(PlanLayout!E21="","",PlanLayout!E21&amp;CHAR(10)&amp;IFERROR(IF(INDEX(tblStellplatz[SAP],MATCH(PlanLayout!E21,tblStellplatz[Stellplatz],0))="","leer",IF(LEFT(RIGHT(INDEX(tblStellplatz[SAP],MATCH(PlanLayout!E21,tblStellplatz[Stellplatz],0)),4),1)="0",RIGHT(INDEX(tblStellplatz[SAP],MATCH(PlanLayout!E21,tblStellplatz[Stellplatz],0)),5),RIGHT(INDEX(tblStellplatz[SAP],MATCH(PlanLayout!E21,tblStellplatz[Stellplatz],0)),4))),"?"))</f>
        <v/>
      </c>
      <c r="F21" s="4">
        <f>IF(PlanLayout!F21="","",PlanLayout!F21&amp;CHAR(10)&amp;IFERROR(IF(INDEX(tblStellplatz[SAP],MATCH(PlanLayout!F21,tblStellplatz[Stellplatz],0))="","leer",IF(LEFT(RIGHT(INDEX(tblStellplatz[SAP],MATCH(PlanLayout!F21,tblStellplatz[Stellplatz],0)),4),1)="0",RIGHT(INDEX(tblStellplatz[SAP],MATCH(PlanLayout!F21,tblStellplatz[Stellplatz],0)),5),RIGHT(INDEX(tblStellplatz[SAP],MATCH(PlanLayout!F21,tblStellplatz[Stellplatz],0)),4))),"?"))</f>
        <v/>
      </c>
      <c r="G21" s="4">
        <f>IF(PlanLayout!G21="","",PlanLayout!G21&amp;CHAR(10)&amp;IFERROR(IF(INDEX(tblStellplatz[SAP],MATCH(PlanLayout!G21,tblStellplatz[Stellplatz],0))="","leer",IF(LEFT(RIGHT(INDEX(tblStellplatz[SAP],MATCH(PlanLayout!G21,tblStellplatz[Stellplatz],0)),4),1)="0",RIGHT(INDEX(tblStellplatz[SAP],MATCH(PlanLayout!G21,tblStellplatz[Stellplatz],0)),5),RIGHT(INDEX(tblStellplatz[SAP],MATCH(PlanLayout!G21,tblStellplatz[Stellplatz],0)),4))),"?"))</f>
        <v/>
      </c>
      <c r="H21" s="4">
        <f>IF(PlanLayout!H21="","",PlanLayout!H21&amp;CHAR(10)&amp;IFERROR(IF(INDEX(tblStellplatz[SAP],MATCH(PlanLayout!H21,tblStellplatz[Stellplatz],0))="","leer",IF(LEFT(RIGHT(INDEX(tblStellplatz[SAP],MATCH(PlanLayout!H21,tblStellplatz[Stellplatz],0)),4),1)="0",RIGHT(INDEX(tblStellplatz[SAP],MATCH(PlanLayout!H21,tblStellplatz[Stellplatz],0)),5),RIGHT(INDEX(tblStellplatz[SAP],MATCH(PlanLayout!H21,tblStellplatz[Stellplatz],0)),4))),"?"))</f>
        <v/>
      </c>
      <c r="I21" s="4">
        <f>IF(PlanLayout!I21="","",PlanLayout!I21&amp;CHAR(10)&amp;IFERROR(IF(INDEX(tblStellplatz[SAP],MATCH(PlanLayout!I21,tblStellplatz[Stellplatz],0))="","leer",IF(LEFT(RIGHT(INDEX(tblStellplatz[SAP],MATCH(PlanLayout!I21,tblStellplatz[Stellplatz],0)),4),1)="0",RIGHT(INDEX(tblStellplatz[SAP],MATCH(PlanLayout!I21,tblStellplatz[Stellplatz],0)),5),RIGHT(INDEX(tblStellplatz[SAP],MATCH(PlanLayout!I21,tblStellplatz[Stellplatz],0)),4))),"?"))</f>
        <v/>
      </c>
      <c r="J21" s="4">
        <f>IF(PlanLayout!J21="","",PlanLayout!J21&amp;CHAR(10)&amp;IFERROR(IF(INDEX(tblStellplatz[SAP],MATCH(PlanLayout!J21,tblStellplatz[Stellplatz],0))="","leer",IF(LEFT(RIGHT(INDEX(tblStellplatz[SAP],MATCH(PlanLayout!J21,tblStellplatz[Stellplatz],0)),4),1)="0",RIGHT(INDEX(tblStellplatz[SAP],MATCH(PlanLayout!J21,tblStellplatz[Stellplatz],0)),5),RIGHT(INDEX(tblStellplatz[SAP],MATCH(PlanLayout!J21,tblStellplatz[Stellplatz],0)),4))),"?"))</f>
        <v/>
      </c>
      <c r="K21" s="4">
        <f>IF(PlanLayout!K21="","",PlanLayout!K21&amp;CHAR(10)&amp;IFERROR(IF(INDEX(tblStellplatz[SAP],MATCH(PlanLayout!K21,tblStellplatz[Stellplatz],0))="","leer",IF(LEFT(RIGHT(INDEX(tblStellplatz[SAP],MATCH(PlanLayout!K21,tblStellplatz[Stellplatz],0)),4),1)="0",RIGHT(INDEX(tblStellplatz[SAP],MATCH(PlanLayout!K21,tblStellplatz[Stellplatz],0)),5),RIGHT(INDEX(tblStellplatz[SAP],MATCH(PlanLayout!K21,tblStellplatz[Stellplatz],0)),4))),"?"))</f>
        <v/>
      </c>
      <c r="L21" s="4">
        <f>IF(PlanLayout!L21="","",PlanLayout!L21&amp;CHAR(10)&amp;IFERROR(IF(INDEX(tblStellplatz[SAP],MATCH(PlanLayout!L21,tblStellplatz[Stellplatz],0))="","leer",IF(LEFT(RIGHT(INDEX(tblStellplatz[SAP],MATCH(PlanLayout!L21,tblStellplatz[Stellplatz],0)),4),1)="0",RIGHT(INDEX(tblStellplatz[SAP],MATCH(PlanLayout!L21,tblStellplatz[Stellplatz],0)),5),RIGHT(INDEX(tblStellplatz[SAP],MATCH(PlanLayout!L21,tblStellplatz[Stellplatz],0)),4))),"?"))</f>
        <v/>
      </c>
      <c r="M21" s="4">
        <f>IF(PlanLayout!M21="","",PlanLayout!M21&amp;CHAR(10)&amp;IFERROR(IF(INDEX(tblStellplatz[SAP],MATCH(PlanLayout!M21,tblStellplatz[Stellplatz],0))="","leer",IF(LEFT(RIGHT(INDEX(tblStellplatz[SAP],MATCH(PlanLayout!M21,tblStellplatz[Stellplatz],0)),4),1)="0",RIGHT(INDEX(tblStellplatz[SAP],MATCH(PlanLayout!M21,tblStellplatz[Stellplatz],0)),5),RIGHT(INDEX(tblStellplatz[SAP],MATCH(PlanLayout!M21,tblStellplatz[Stellplatz],0)),4))),"?"))</f>
        <v/>
      </c>
      <c r="N21" s="4">
        <f>IF(PlanLayout!N21="","",PlanLayout!N21&amp;CHAR(10)&amp;IFERROR(IF(INDEX(tblStellplatz[SAP],MATCH(PlanLayout!N21,tblStellplatz[Stellplatz],0))="","leer",IF(LEFT(RIGHT(INDEX(tblStellplatz[SAP],MATCH(PlanLayout!N21,tblStellplatz[Stellplatz],0)),4),1)="0",RIGHT(INDEX(tblStellplatz[SAP],MATCH(PlanLayout!N21,tblStellplatz[Stellplatz],0)),5),RIGHT(INDEX(tblStellplatz[SAP],MATCH(PlanLayout!N21,tblStellplatz[Stellplatz],0)),4))),"?"))</f>
        <v/>
      </c>
      <c r="O21" s="4">
        <f>IF(PlanLayout!O21="","",PlanLayout!O21&amp;CHAR(10)&amp;IFERROR(IF(INDEX(tblStellplatz[SAP],MATCH(PlanLayout!O21,tblStellplatz[Stellplatz],0))="","leer",IF(LEFT(RIGHT(INDEX(tblStellplatz[SAP],MATCH(PlanLayout!O21,tblStellplatz[Stellplatz],0)),4),1)="0",RIGHT(INDEX(tblStellplatz[SAP],MATCH(PlanLayout!O21,tblStellplatz[Stellplatz],0)),5),RIGHT(INDEX(tblStellplatz[SAP],MATCH(PlanLayout!O21,tblStellplatz[Stellplatz],0)),4))),"?"))</f>
        <v/>
      </c>
      <c r="P21" s="4">
        <f>IF(PlanLayout!P21="","",PlanLayout!P21&amp;CHAR(10)&amp;IFERROR(IF(INDEX(tblStellplatz[SAP],MATCH(PlanLayout!P21,tblStellplatz[Stellplatz],0))="","leer",IF(LEFT(RIGHT(INDEX(tblStellplatz[SAP],MATCH(PlanLayout!P21,tblStellplatz[Stellplatz],0)),4),1)="0",RIGHT(INDEX(tblStellplatz[SAP],MATCH(PlanLayout!P21,tblStellplatz[Stellplatz],0)),5),RIGHT(INDEX(tblStellplatz[SAP],MATCH(PlanLayout!P21,tblStellplatz[Stellplatz],0)),4))),"?"))</f>
        <v/>
      </c>
      <c r="Q21" s="4">
        <f>IF(PlanLayout!Q21="","",PlanLayout!Q21&amp;CHAR(10)&amp;IFERROR(IF(INDEX(tblStellplatz[SAP],MATCH(PlanLayout!Q21,tblStellplatz[Stellplatz],0))="","leer",IF(LEFT(RIGHT(INDEX(tblStellplatz[SAP],MATCH(PlanLayout!Q21,tblStellplatz[Stellplatz],0)),4),1)="0",RIGHT(INDEX(tblStellplatz[SAP],MATCH(PlanLayout!Q21,tblStellplatz[Stellplatz],0)),5),RIGHT(INDEX(tblStellplatz[SAP],MATCH(PlanLayout!Q21,tblStellplatz[Stellplatz],0)),4))),"?"))</f>
        <v/>
      </c>
      <c r="R21" s="4">
        <f>IF(PlanLayout!R21="","",PlanLayout!R21&amp;CHAR(10)&amp;IFERROR(IF(INDEX(tblStellplatz[SAP],MATCH(PlanLayout!R21,tblStellplatz[Stellplatz],0))="","leer",IF(LEFT(RIGHT(INDEX(tblStellplatz[SAP],MATCH(PlanLayout!R21,tblStellplatz[Stellplatz],0)),4),1)="0",RIGHT(INDEX(tblStellplatz[SAP],MATCH(PlanLayout!R21,tblStellplatz[Stellplatz],0)),5),RIGHT(INDEX(tblStellplatz[SAP],MATCH(PlanLayout!R21,tblStellplatz[Stellplatz],0)),4))),"?"))</f>
        <v/>
      </c>
      <c r="S21" s="4">
        <f>IF(PlanLayout!S21="","",PlanLayout!S21&amp;CHAR(10)&amp;IFERROR(IF(INDEX(tblStellplatz[SAP],MATCH(PlanLayout!S21,tblStellplatz[Stellplatz],0))="","leer",IF(LEFT(RIGHT(INDEX(tblStellplatz[SAP],MATCH(PlanLayout!S21,tblStellplatz[Stellplatz],0)),4),1)="0",RIGHT(INDEX(tblStellplatz[SAP],MATCH(PlanLayout!S21,tblStellplatz[Stellplatz],0)),5),RIGHT(INDEX(tblStellplatz[SAP],MATCH(PlanLayout!S21,tblStellplatz[Stellplatz],0)),4))),"?"))</f>
        <v/>
      </c>
      <c r="T21" s="4">
        <f>IF(PlanLayout!T21="","",PlanLayout!T21&amp;CHAR(10)&amp;IFERROR(IF(INDEX(tblStellplatz[SAP],MATCH(PlanLayout!T21,tblStellplatz[Stellplatz],0))="","leer",IF(LEFT(RIGHT(INDEX(tblStellplatz[SAP],MATCH(PlanLayout!T21,tblStellplatz[Stellplatz],0)),4),1)="0",RIGHT(INDEX(tblStellplatz[SAP],MATCH(PlanLayout!T21,tblStellplatz[Stellplatz],0)),5),RIGHT(INDEX(tblStellplatz[SAP],MATCH(PlanLayout!T21,tblStellplatz[Stellplatz],0)),4))),"?"))</f>
        <v/>
      </c>
      <c r="U21" s="4">
        <f>IF(PlanLayout!U21="","",PlanLayout!U21&amp;CHAR(10)&amp;IFERROR(IF(INDEX(tblStellplatz[SAP],MATCH(PlanLayout!U21,tblStellplatz[Stellplatz],0))="","leer",IF(LEFT(RIGHT(INDEX(tblStellplatz[SAP],MATCH(PlanLayout!U21,tblStellplatz[Stellplatz],0)),4),1)="0",RIGHT(INDEX(tblStellplatz[SAP],MATCH(PlanLayout!U21,tblStellplatz[Stellplatz],0)),5),RIGHT(INDEX(tblStellplatz[SAP],MATCH(PlanLayout!U21,tblStellplatz[Stellplatz],0)),4))),"?"))</f>
        <v/>
      </c>
      <c r="V21" s="4">
        <f>IF(PlanLayout!V21="","",PlanLayout!V21&amp;CHAR(10)&amp;IFERROR(IF(INDEX(tblStellplatz[SAP],MATCH(PlanLayout!V21,tblStellplatz[Stellplatz],0))="","leer",IF(LEFT(RIGHT(INDEX(tblStellplatz[SAP],MATCH(PlanLayout!V21,tblStellplatz[Stellplatz],0)),4),1)="0",RIGHT(INDEX(tblStellplatz[SAP],MATCH(PlanLayout!V21,tblStellplatz[Stellplatz],0)),5),RIGHT(INDEX(tblStellplatz[SAP],MATCH(PlanLayout!V21,tblStellplatz[Stellplatz],0)),4))),"?"))</f>
        <v/>
      </c>
      <c r="W21" s="4">
        <f>IF(PlanLayout!W21="","",PlanLayout!W21&amp;CHAR(10)&amp;IFERROR(IF(INDEX(tblStellplatz[SAP],MATCH(PlanLayout!W21,tblStellplatz[Stellplatz],0))="","leer",IF(LEFT(RIGHT(INDEX(tblStellplatz[SAP],MATCH(PlanLayout!W21,tblStellplatz[Stellplatz],0)),4),1)="0",RIGHT(INDEX(tblStellplatz[SAP],MATCH(PlanLayout!W21,tblStellplatz[Stellplatz],0)),5),RIGHT(INDEX(tblStellplatz[SAP],MATCH(PlanLayout!W21,tblStellplatz[Stellplatz],0)),4))),"?"))</f>
        <v/>
      </c>
      <c r="X21" s="4">
        <f>IF(PlanLayout!X21="","",PlanLayout!X21&amp;CHAR(10)&amp;IFERROR(IF(INDEX(tblStellplatz[SAP],MATCH(PlanLayout!X21,tblStellplatz[Stellplatz],0))="","leer",IF(LEFT(RIGHT(INDEX(tblStellplatz[SAP],MATCH(PlanLayout!X21,tblStellplatz[Stellplatz],0)),4),1)="0",RIGHT(INDEX(tblStellplatz[SAP],MATCH(PlanLayout!X21,tblStellplatz[Stellplatz],0)),5),RIGHT(INDEX(tblStellplatz[SAP],MATCH(PlanLayout!X21,tblStellplatz[Stellplatz],0)),4))),"?"))</f>
        <v/>
      </c>
      <c r="Y21" s="4">
        <f>IF(PlanLayout!Y21="","",PlanLayout!Y21&amp;CHAR(10)&amp;IFERROR(IF(INDEX(tblStellplatz[SAP],MATCH(PlanLayout!Y21,tblStellplatz[Stellplatz],0))="","leer",IF(LEFT(RIGHT(INDEX(tblStellplatz[SAP],MATCH(PlanLayout!Y21,tblStellplatz[Stellplatz],0)),4),1)="0",RIGHT(INDEX(tblStellplatz[SAP],MATCH(PlanLayout!Y21,tblStellplatz[Stellplatz],0)),5),RIGHT(INDEX(tblStellplatz[SAP],MATCH(PlanLayout!Y21,tblStellplatz[Stellplatz],0)),4))),"?"))</f>
        <v/>
      </c>
      <c r="Z21" s="4">
        <f>IF(PlanLayout!Z21="","",PlanLayout!Z21&amp;CHAR(10)&amp;IFERROR(IF(INDEX(tblStellplatz[SAP],MATCH(PlanLayout!Z21,tblStellplatz[Stellplatz],0))="","leer",IF(LEFT(RIGHT(INDEX(tblStellplatz[SAP],MATCH(PlanLayout!Z21,tblStellplatz[Stellplatz],0)),4),1)="0",RIGHT(INDEX(tblStellplatz[SAP],MATCH(PlanLayout!Z21,tblStellplatz[Stellplatz],0)),5),RIGHT(INDEX(tblStellplatz[SAP],MATCH(PlanLayout!Z21,tblStellplatz[Stellplatz],0)),4))),"?"))</f>
        <v/>
      </c>
      <c r="AA21" s="4">
        <f>IF(PlanLayout!AA21="","",PlanLayout!AA21&amp;CHAR(10)&amp;IFERROR(IF(INDEX(tblStellplatz[SAP],MATCH(PlanLayout!AA21,tblStellplatz[Stellplatz],0))="","leer",IF(LEFT(RIGHT(INDEX(tblStellplatz[SAP],MATCH(PlanLayout!AA21,tblStellplatz[Stellplatz],0)),4),1)="0",RIGHT(INDEX(tblStellplatz[SAP],MATCH(PlanLayout!AA21,tblStellplatz[Stellplatz],0)),5),RIGHT(INDEX(tblStellplatz[SAP],MATCH(PlanLayout!AA21,tblStellplatz[Stellplatz],0)),4))),"?"))</f>
        <v/>
      </c>
      <c r="AB21" s="4">
        <f>IF(PlanLayout!AB21="","",PlanLayout!AB21&amp;CHAR(10)&amp;IFERROR(IF(INDEX(tblStellplatz[SAP],MATCH(PlanLayout!AB21,tblStellplatz[Stellplatz],0))="","leer",IF(LEFT(RIGHT(INDEX(tblStellplatz[SAP],MATCH(PlanLayout!AB21,tblStellplatz[Stellplatz],0)),4),1)="0",RIGHT(INDEX(tblStellplatz[SAP],MATCH(PlanLayout!AB21,tblStellplatz[Stellplatz],0)),5),RIGHT(INDEX(tblStellplatz[SAP],MATCH(PlanLayout!AB21,tblStellplatz[Stellplatz],0)),4))),"?"))</f>
        <v/>
      </c>
      <c r="AC21" s="4">
        <f>IF(PlanLayout!AC21="","",PlanLayout!AC21&amp;CHAR(10)&amp;IFERROR(IF(INDEX(tblStellplatz[SAP],MATCH(PlanLayout!AC21,tblStellplatz[Stellplatz],0))="","leer",IF(LEFT(RIGHT(INDEX(tblStellplatz[SAP],MATCH(PlanLayout!AC21,tblStellplatz[Stellplatz],0)),4),1)="0",RIGHT(INDEX(tblStellplatz[SAP],MATCH(PlanLayout!AC21,tblStellplatz[Stellplatz],0)),5),RIGHT(INDEX(tblStellplatz[SAP],MATCH(PlanLayout!AC21,tblStellplatz[Stellplatz],0)),4))),"?"))</f>
        <v/>
      </c>
      <c r="AD21" s="4">
        <f>IF(PlanLayout!AD21="","",PlanLayout!AD21&amp;CHAR(10)&amp;IFERROR(IF(INDEX(tblStellplatz[SAP],MATCH(PlanLayout!AD21,tblStellplatz[Stellplatz],0))="","leer",IF(LEFT(RIGHT(INDEX(tblStellplatz[SAP],MATCH(PlanLayout!AD21,tblStellplatz[Stellplatz],0)),4),1)="0",RIGHT(INDEX(tblStellplatz[SAP],MATCH(PlanLayout!AD21,tblStellplatz[Stellplatz],0)),5),RIGHT(INDEX(tblStellplatz[SAP],MATCH(PlanLayout!AD21,tblStellplatz[Stellplatz],0)),4))),"?"))</f>
        <v/>
      </c>
      <c r="AE21" s="4">
        <f>IF(PlanLayout!AE21="","",PlanLayout!AE21&amp;CHAR(10)&amp;IFERROR(IF(INDEX(tblStellplatz[SAP],MATCH(PlanLayout!AE21,tblStellplatz[Stellplatz],0))="","leer",IF(LEFT(RIGHT(INDEX(tblStellplatz[SAP],MATCH(PlanLayout!AE21,tblStellplatz[Stellplatz],0)),4),1)="0",RIGHT(INDEX(tblStellplatz[SAP],MATCH(PlanLayout!AE21,tblStellplatz[Stellplatz],0)),5),RIGHT(INDEX(tblStellplatz[SAP],MATCH(PlanLayout!AE21,tblStellplatz[Stellplatz],0)),4))),"?"))</f>
        <v/>
      </c>
      <c r="AF21" s="4">
        <f>IF(PlanLayout!AF21="","",PlanLayout!AF21&amp;CHAR(10)&amp;IFERROR(IF(INDEX(tblStellplatz[SAP],MATCH(PlanLayout!AF21,tblStellplatz[Stellplatz],0))="","leer",IF(LEFT(RIGHT(INDEX(tblStellplatz[SAP],MATCH(PlanLayout!AF21,tblStellplatz[Stellplatz],0)),4),1)="0",RIGHT(INDEX(tblStellplatz[SAP],MATCH(PlanLayout!AF21,tblStellplatz[Stellplatz],0)),5),RIGHT(INDEX(tblStellplatz[SAP],MATCH(PlanLayout!AF21,tblStellplatz[Stellplatz],0)),4))),"?"))</f>
        <v/>
      </c>
      <c r="AG21" s="4">
        <f>IF(PlanLayout!AG21="","",PlanLayout!AG21&amp;CHAR(10)&amp;IFERROR(IF(INDEX(tblStellplatz[SAP],MATCH(PlanLayout!AG21,tblStellplatz[Stellplatz],0))="","leer",IF(LEFT(RIGHT(INDEX(tblStellplatz[SAP],MATCH(PlanLayout!AG21,tblStellplatz[Stellplatz],0)),4),1)="0",RIGHT(INDEX(tblStellplatz[SAP],MATCH(PlanLayout!AG21,tblStellplatz[Stellplatz],0)),5),RIGHT(INDEX(tblStellplatz[SAP],MATCH(PlanLayout!AG21,tblStellplatz[Stellplatz],0)),4))),"?"))</f>
        <v/>
      </c>
      <c r="AH21" s="4">
        <f>IF(PlanLayout!AH21="","",PlanLayout!AH21&amp;CHAR(10)&amp;IFERROR(IF(INDEX(tblStellplatz[SAP],MATCH(PlanLayout!AH21,tblStellplatz[Stellplatz],0))="","leer",IF(LEFT(RIGHT(INDEX(tblStellplatz[SAP],MATCH(PlanLayout!AH21,tblStellplatz[Stellplatz],0)),4),1)="0",RIGHT(INDEX(tblStellplatz[SAP],MATCH(PlanLayout!AH21,tblStellplatz[Stellplatz],0)),5),RIGHT(INDEX(tblStellplatz[SAP],MATCH(PlanLayout!AH21,tblStellplatz[Stellplatz],0)),4))),"?"))</f>
        <v/>
      </c>
      <c r="AI21" s="4">
        <f>IF(PlanLayout!AI21="","",PlanLayout!AI21&amp;CHAR(10)&amp;IFERROR(IF(INDEX(tblStellplatz[SAP],MATCH(PlanLayout!AI21,tblStellplatz[Stellplatz],0))="","leer",IF(LEFT(RIGHT(INDEX(tblStellplatz[SAP],MATCH(PlanLayout!AI21,tblStellplatz[Stellplatz],0)),4),1)="0",RIGHT(INDEX(tblStellplatz[SAP],MATCH(PlanLayout!AI21,tblStellplatz[Stellplatz],0)),5),RIGHT(INDEX(tblStellplatz[SAP],MATCH(PlanLayout!AI21,tblStellplatz[Stellplatz],0)),4))),"?"))</f>
        <v/>
      </c>
      <c r="AJ21" s="4">
        <f>IF(PlanLayout!AJ21="","",PlanLayout!AJ21&amp;CHAR(10)&amp;IFERROR(IF(INDEX(tblStellplatz[SAP],MATCH(PlanLayout!AJ21,tblStellplatz[Stellplatz],0))="","leer",IF(LEFT(RIGHT(INDEX(tblStellplatz[SAP],MATCH(PlanLayout!AJ21,tblStellplatz[Stellplatz],0)),4),1)="0",RIGHT(INDEX(tblStellplatz[SAP],MATCH(PlanLayout!AJ21,tblStellplatz[Stellplatz],0)),5),RIGHT(INDEX(tblStellplatz[SAP],MATCH(PlanLayout!AJ21,tblStellplatz[Stellplatz],0)),4))),"?"))</f>
        <v/>
      </c>
      <c r="AK21" s="4">
        <f>IF(PlanLayout!AK21="","",PlanLayout!AK21&amp;CHAR(10)&amp;IFERROR(IF(INDEX(tblStellplatz[SAP],MATCH(PlanLayout!AK21,tblStellplatz[Stellplatz],0))="","leer",IF(LEFT(RIGHT(INDEX(tblStellplatz[SAP],MATCH(PlanLayout!AK21,tblStellplatz[Stellplatz],0)),4),1)="0",RIGHT(INDEX(tblStellplatz[SAP],MATCH(PlanLayout!AK21,tblStellplatz[Stellplatz],0)),5),RIGHT(INDEX(tblStellplatz[SAP],MATCH(PlanLayout!AK21,tblStellplatz[Stellplatz],0)),4))),"?"))</f>
        <v/>
      </c>
      <c r="AL21" s="4">
        <f>IF(PlanLayout!AL21="","",PlanLayout!AL21&amp;CHAR(10)&amp;IFERROR(IF(INDEX(tblStellplatz[SAP],MATCH(PlanLayout!AL21,tblStellplatz[Stellplatz],0))="","leer",IF(LEFT(RIGHT(INDEX(tblStellplatz[SAP],MATCH(PlanLayout!AL21,tblStellplatz[Stellplatz],0)),4),1)="0",RIGHT(INDEX(tblStellplatz[SAP],MATCH(PlanLayout!AL21,tblStellplatz[Stellplatz],0)),5),RIGHT(INDEX(tblStellplatz[SAP],MATCH(PlanLayout!AL21,tblStellplatz[Stellplatz],0)),4))),"?"))</f>
        <v/>
      </c>
      <c r="AM21" s="4">
        <f>IF(PlanLayout!AM21="","",PlanLayout!AM21&amp;CHAR(10)&amp;IFERROR(IF(INDEX(tblStellplatz[SAP],MATCH(PlanLayout!AM21,tblStellplatz[Stellplatz],0))="","leer",IF(LEFT(RIGHT(INDEX(tblStellplatz[SAP],MATCH(PlanLayout!AM21,tblStellplatz[Stellplatz],0)),4),1)="0",RIGHT(INDEX(tblStellplatz[SAP],MATCH(PlanLayout!AM21,tblStellplatz[Stellplatz],0)),5),RIGHT(INDEX(tblStellplatz[SAP],MATCH(PlanLayout!AM21,tblStellplatz[Stellplatz],0)),4))),"?"))</f>
        <v/>
      </c>
      <c r="AN21" s="4">
        <f>IF(PlanLayout!AN21="","",PlanLayout!AN21&amp;CHAR(10)&amp;IFERROR(IF(INDEX(tblStellplatz[SAP],MATCH(PlanLayout!AN21,tblStellplatz[Stellplatz],0))="","leer",IF(LEFT(RIGHT(INDEX(tblStellplatz[SAP],MATCH(PlanLayout!AN21,tblStellplatz[Stellplatz],0)),4),1)="0",RIGHT(INDEX(tblStellplatz[SAP],MATCH(PlanLayout!AN21,tblStellplatz[Stellplatz],0)),5),RIGHT(INDEX(tblStellplatz[SAP],MATCH(PlanLayout!AN21,tblStellplatz[Stellplatz],0)),4))),"?"))</f>
        <v/>
      </c>
      <c r="AO21" s="4">
        <f>IF(PlanLayout!AO21="","",PlanLayout!AO21&amp;CHAR(10)&amp;IFERROR(IF(INDEX(tblStellplatz[SAP],MATCH(PlanLayout!AO21,tblStellplatz[Stellplatz],0))="","leer",IF(LEFT(RIGHT(INDEX(tblStellplatz[SAP],MATCH(PlanLayout!AO21,tblStellplatz[Stellplatz],0)),4),1)="0",RIGHT(INDEX(tblStellplatz[SAP],MATCH(PlanLayout!AO21,tblStellplatz[Stellplatz],0)),5),RIGHT(INDEX(tblStellplatz[SAP],MATCH(PlanLayout!AO21,tblStellplatz[Stellplatz],0)),4))),"?"))</f>
        <v/>
      </c>
    </row>
    <row r="22" ht="30" customHeight="1">
      <c r="B22" s="4">
        <f>IF(PlanLayout!B22="","",PlanLayout!B22&amp;CHAR(10)&amp;IFERROR(IF(INDEX(tblStellplatz[SAP],MATCH(PlanLayout!B22,tblStellplatz[Stellplatz],0))="","leer",IF(LEFT(RIGHT(INDEX(tblStellplatz[SAP],MATCH(PlanLayout!B22,tblStellplatz[Stellplatz],0)),4),1)="0",RIGHT(INDEX(tblStellplatz[SAP],MATCH(PlanLayout!B22,tblStellplatz[Stellplatz],0)),5),RIGHT(INDEX(tblStellplatz[SAP],MATCH(PlanLayout!B22,tblStellplatz[Stellplatz],0)),4))),"?"))</f>
        <v/>
      </c>
      <c r="C22" s="4">
        <f>IF(PlanLayout!C22="","",PlanLayout!C22&amp;CHAR(10)&amp;IFERROR(IF(INDEX(tblStellplatz[SAP],MATCH(PlanLayout!C22,tblStellplatz[Stellplatz],0))="","leer",IF(LEFT(RIGHT(INDEX(tblStellplatz[SAP],MATCH(PlanLayout!C22,tblStellplatz[Stellplatz],0)),4),1)="0",RIGHT(INDEX(tblStellplatz[SAP],MATCH(PlanLayout!C22,tblStellplatz[Stellplatz],0)),5),RIGHT(INDEX(tblStellplatz[SAP],MATCH(PlanLayout!C22,tblStellplatz[Stellplatz],0)),4))),"?"))</f>
        <v/>
      </c>
      <c r="D22" s="4">
        <f>IF(PlanLayout!D22="","",PlanLayout!D22&amp;CHAR(10)&amp;IFERROR(IF(INDEX(tblStellplatz[SAP],MATCH(PlanLayout!D22,tblStellplatz[Stellplatz],0))="","leer",IF(LEFT(RIGHT(INDEX(tblStellplatz[SAP],MATCH(PlanLayout!D22,tblStellplatz[Stellplatz],0)),4),1)="0",RIGHT(INDEX(tblStellplatz[SAP],MATCH(PlanLayout!D22,tblStellplatz[Stellplatz],0)),5),RIGHT(INDEX(tblStellplatz[SAP],MATCH(PlanLayout!D22,tblStellplatz[Stellplatz],0)),4))),"?"))</f>
        <v/>
      </c>
      <c r="E22" s="4">
        <f>IF(PlanLayout!E22="","",PlanLayout!E22&amp;CHAR(10)&amp;IFERROR(IF(INDEX(tblStellplatz[SAP],MATCH(PlanLayout!E22,tblStellplatz[Stellplatz],0))="","leer",IF(LEFT(RIGHT(INDEX(tblStellplatz[SAP],MATCH(PlanLayout!E22,tblStellplatz[Stellplatz],0)),4),1)="0",RIGHT(INDEX(tblStellplatz[SAP],MATCH(PlanLayout!E22,tblStellplatz[Stellplatz],0)),5),RIGHT(INDEX(tblStellplatz[SAP],MATCH(PlanLayout!E22,tblStellplatz[Stellplatz],0)),4))),"?"))</f>
        <v/>
      </c>
      <c r="F22" s="4">
        <f>IF(PlanLayout!F22="","",PlanLayout!F22&amp;CHAR(10)&amp;IFERROR(IF(INDEX(tblStellplatz[SAP],MATCH(PlanLayout!F22,tblStellplatz[Stellplatz],0))="","leer",IF(LEFT(RIGHT(INDEX(tblStellplatz[SAP],MATCH(PlanLayout!F22,tblStellplatz[Stellplatz],0)),4),1)="0",RIGHT(INDEX(tblStellplatz[SAP],MATCH(PlanLayout!F22,tblStellplatz[Stellplatz],0)),5),RIGHT(INDEX(tblStellplatz[SAP],MATCH(PlanLayout!F22,tblStellplatz[Stellplatz],0)),4))),"?"))</f>
        <v/>
      </c>
      <c r="G22" s="4">
        <f>IF(PlanLayout!G22="","",PlanLayout!G22&amp;CHAR(10)&amp;IFERROR(IF(INDEX(tblStellplatz[SAP],MATCH(PlanLayout!G22,tblStellplatz[Stellplatz],0))="","leer",IF(LEFT(RIGHT(INDEX(tblStellplatz[SAP],MATCH(PlanLayout!G22,tblStellplatz[Stellplatz],0)),4),1)="0",RIGHT(INDEX(tblStellplatz[SAP],MATCH(PlanLayout!G22,tblStellplatz[Stellplatz],0)),5),RIGHT(INDEX(tblStellplatz[SAP],MATCH(PlanLayout!G22,tblStellplatz[Stellplatz],0)),4))),"?"))</f>
        <v/>
      </c>
      <c r="H22" s="4">
        <f>IF(PlanLayout!H22="","",PlanLayout!H22&amp;CHAR(10)&amp;IFERROR(IF(INDEX(tblStellplatz[SAP],MATCH(PlanLayout!H22,tblStellplatz[Stellplatz],0))="","leer",IF(LEFT(RIGHT(INDEX(tblStellplatz[SAP],MATCH(PlanLayout!H22,tblStellplatz[Stellplatz],0)),4),1)="0",RIGHT(INDEX(tblStellplatz[SAP],MATCH(PlanLayout!H22,tblStellplatz[Stellplatz],0)),5),RIGHT(INDEX(tblStellplatz[SAP],MATCH(PlanLayout!H22,tblStellplatz[Stellplatz],0)),4))),"?"))</f>
        <v/>
      </c>
      <c r="I22" s="4">
        <f>IF(PlanLayout!I22="","",PlanLayout!I22&amp;CHAR(10)&amp;IFERROR(IF(INDEX(tblStellplatz[SAP],MATCH(PlanLayout!I22,tblStellplatz[Stellplatz],0))="","leer",IF(LEFT(RIGHT(INDEX(tblStellplatz[SAP],MATCH(PlanLayout!I22,tblStellplatz[Stellplatz],0)),4),1)="0",RIGHT(INDEX(tblStellplatz[SAP],MATCH(PlanLayout!I22,tblStellplatz[Stellplatz],0)),5),RIGHT(INDEX(tblStellplatz[SAP],MATCH(PlanLayout!I22,tblStellplatz[Stellplatz],0)),4))),"?"))</f>
        <v/>
      </c>
      <c r="J22" s="4">
        <f>IF(PlanLayout!J22="","",PlanLayout!J22&amp;CHAR(10)&amp;IFERROR(IF(INDEX(tblStellplatz[SAP],MATCH(PlanLayout!J22,tblStellplatz[Stellplatz],0))="","leer",IF(LEFT(RIGHT(INDEX(tblStellplatz[SAP],MATCH(PlanLayout!J22,tblStellplatz[Stellplatz],0)),4),1)="0",RIGHT(INDEX(tblStellplatz[SAP],MATCH(PlanLayout!J22,tblStellplatz[Stellplatz],0)),5),RIGHT(INDEX(tblStellplatz[SAP],MATCH(PlanLayout!J22,tblStellplatz[Stellplatz],0)),4))),"?"))</f>
        <v/>
      </c>
      <c r="K22" s="4">
        <f>IF(PlanLayout!K22="","",PlanLayout!K22&amp;CHAR(10)&amp;IFERROR(IF(INDEX(tblStellplatz[SAP],MATCH(PlanLayout!K22,tblStellplatz[Stellplatz],0))="","leer",IF(LEFT(RIGHT(INDEX(tblStellplatz[SAP],MATCH(PlanLayout!K22,tblStellplatz[Stellplatz],0)),4),1)="0",RIGHT(INDEX(tblStellplatz[SAP],MATCH(PlanLayout!K22,tblStellplatz[Stellplatz],0)),5),RIGHT(INDEX(tblStellplatz[SAP],MATCH(PlanLayout!K22,tblStellplatz[Stellplatz],0)),4))),"?"))</f>
        <v/>
      </c>
      <c r="L22" s="4">
        <f>IF(PlanLayout!L22="","",PlanLayout!L22&amp;CHAR(10)&amp;IFERROR(IF(INDEX(tblStellplatz[SAP],MATCH(PlanLayout!L22,tblStellplatz[Stellplatz],0))="","leer",IF(LEFT(RIGHT(INDEX(tblStellplatz[SAP],MATCH(PlanLayout!L22,tblStellplatz[Stellplatz],0)),4),1)="0",RIGHT(INDEX(tblStellplatz[SAP],MATCH(PlanLayout!L22,tblStellplatz[Stellplatz],0)),5),RIGHT(INDEX(tblStellplatz[SAP],MATCH(PlanLayout!L22,tblStellplatz[Stellplatz],0)),4))),"?"))</f>
        <v/>
      </c>
      <c r="M22" s="4">
        <f>IF(PlanLayout!M22="","",PlanLayout!M22&amp;CHAR(10)&amp;IFERROR(IF(INDEX(tblStellplatz[SAP],MATCH(PlanLayout!M22,tblStellplatz[Stellplatz],0))="","leer",IF(LEFT(RIGHT(INDEX(tblStellplatz[SAP],MATCH(PlanLayout!M22,tblStellplatz[Stellplatz],0)),4),1)="0",RIGHT(INDEX(tblStellplatz[SAP],MATCH(PlanLayout!M22,tblStellplatz[Stellplatz],0)),5),RIGHT(INDEX(tblStellplatz[SAP],MATCH(PlanLayout!M22,tblStellplatz[Stellplatz],0)),4))),"?"))</f>
        <v/>
      </c>
      <c r="N22" s="4">
        <f>IF(PlanLayout!N22="","",PlanLayout!N22&amp;CHAR(10)&amp;IFERROR(IF(INDEX(tblStellplatz[SAP],MATCH(PlanLayout!N22,tblStellplatz[Stellplatz],0))="","leer",IF(LEFT(RIGHT(INDEX(tblStellplatz[SAP],MATCH(PlanLayout!N22,tblStellplatz[Stellplatz],0)),4),1)="0",RIGHT(INDEX(tblStellplatz[SAP],MATCH(PlanLayout!N22,tblStellplatz[Stellplatz],0)),5),RIGHT(INDEX(tblStellplatz[SAP],MATCH(PlanLayout!N22,tblStellplatz[Stellplatz],0)),4))),"?"))</f>
        <v/>
      </c>
      <c r="O22" s="4">
        <f>IF(PlanLayout!O22="","",PlanLayout!O22&amp;CHAR(10)&amp;IFERROR(IF(INDEX(tblStellplatz[SAP],MATCH(PlanLayout!O22,tblStellplatz[Stellplatz],0))="","leer",IF(LEFT(RIGHT(INDEX(tblStellplatz[SAP],MATCH(PlanLayout!O22,tblStellplatz[Stellplatz],0)),4),1)="0",RIGHT(INDEX(tblStellplatz[SAP],MATCH(PlanLayout!O22,tblStellplatz[Stellplatz],0)),5),RIGHT(INDEX(tblStellplatz[SAP],MATCH(PlanLayout!O22,tblStellplatz[Stellplatz],0)),4))),"?"))</f>
        <v/>
      </c>
      <c r="P22" s="4">
        <f>IF(PlanLayout!P22="","",PlanLayout!P22&amp;CHAR(10)&amp;IFERROR(IF(INDEX(tblStellplatz[SAP],MATCH(PlanLayout!P22,tblStellplatz[Stellplatz],0))="","leer",IF(LEFT(RIGHT(INDEX(tblStellplatz[SAP],MATCH(PlanLayout!P22,tblStellplatz[Stellplatz],0)),4),1)="0",RIGHT(INDEX(tblStellplatz[SAP],MATCH(PlanLayout!P22,tblStellplatz[Stellplatz],0)),5),RIGHT(INDEX(tblStellplatz[SAP],MATCH(PlanLayout!P22,tblStellplatz[Stellplatz],0)),4))),"?"))</f>
        <v/>
      </c>
      <c r="Q22" s="4">
        <f>IF(PlanLayout!Q22="","",PlanLayout!Q22&amp;CHAR(10)&amp;IFERROR(IF(INDEX(tblStellplatz[SAP],MATCH(PlanLayout!Q22,tblStellplatz[Stellplatz],0))="","leer",IF(LEFT(RIGHT(INDEX(tblStellplatz[SAP],MATCH(PlanLayout!Q22,tblStellplatz[Stellplatz],0)),4),1)="0",RIGHT(INDEX(tblStellplatz[SAP],MATCH(PlanLayout!Q22,tblStellplatz[Stellplatz],0)),5),RIGHT(INDEX(tblStellplatz[SAP],MATCH(PlanLayout!Q22,tblStellplatz[Stellplatz],0)),4))),"?"))</f>
        <v/>
      </c>
      <c r="R22" s="4">
        <f>IF(PlanLayout!R22="","",PlanLayout!R22&amp;CHAR(10)&amp;IFERROR(IF(INDEX(tblStellplatz[SAP],MATCH(PlanLayout!R22,tblStellplatz[Stellplatz],0))="","leer",IF(LEFT(RIGHT(INDEX(tblStellplatz[SAP],MATCH(PlanLayout!R22,tblStellplatz[Stellplatz],0)),4),1)="0",RIGHT(INDEX(tblStellplatz[SAP],MATCH(PlanLayout!R22,tblStellplatz[Stellplatz],0)),5),RIGHT(INDEX(tblStellplatz[SAP],MATCH(PlanLayout!R22,tblStellplatz[Stellplatz],0)),4))),"?"))</f>
        <v/>
      </c>
      <c r="S22" s="4">
        <f>IF(PlanLayout!S22="","",PlanLayout!S22&amp;CHAR(10)&amp;IFERROR(IF(INDEX(tblStellplatz[SAP],MATCH(PlanLayout!S22,tblStellplatz[Stellplatz],0))="","leer",IF(LEFT(RIGHT(INDEX(tblStellplatz[SAP],MATCH(PlanLayout!S22,tblStellplatz[Stellplatz],0)),4),1)="0",RIGHT(INDEX(tblStellplatz[SAP],MATCH(PlanLayout!S22,tblStellplatz[Stellplatz],0)),5),RIGHT(INDEX(tblStellplatz[SAP],MATCH(PlanLayout!S22,tblStellplatz[Stellplatz],0)),4))),"?"))</f>
        <v/>
      </c>
      <c r="T22" s="4">
        <f>IF(PlanLayout!T22="","",PlanLayout!T22&amp;CHAR(10)&amp;IFERROR(IF(INDEX(tblStellplatz[SAP],MATCH(PlanLayout!T22,tblStellplatz[Stellplatz],0))="","leer",IF(LEFT(RIGHT(INDEX(tblStellplatz[SAP],MATCH(PlanLayout!T22,tblStellplatz[Stellplatz],0)),4),1)="0",RIGHT(INDEX(tblStellplatz[SAP],MATCH(PlanLayout!T22,tblStellplatz[Stellplatz],0)),5),RIGHT(INDEX(tblStellplatz[SAP],MATCH(PlanLayout!T22,tblStellplatz[Stellplatz],0)),4))),"?"))</f>
        <v/>
      </c>
      <c r="U22" s="4">
        <f>IF(PlanLayout!U22="","",PlanLayout!U22&amp;CHAR(10)&amp;IFERROR(IF(INDEX(tblStellplatz[SAP],MATCH(PlanLayout!U22,tblStellplatz[Stellplatz],0))="","leer",IF(LEFT(RIGHT(INDEX(tblStellplatz[SAP],MATCH(PlanLayout!U22,tblStellplatz[Stellplatz],0)),4),1)="0",RIGHT(INDEX(tblStellplatz[SAP],MATCH(PlanLayout!U22,tblStellplatz[Stellplatz],0)),5),RIGHT(INDEX(tblStellplatz[SAP],MATCH(PlanLayout!U22,tblStellplatz[Stellplatz],0)),4))),"?"))</f>
        <v/>
      </c>
      <c r="V22" s="4">
        <f>IF(PlanLayout!V22="","",PlanLayout!V22&amp;CHAR(10)&amp;IFERROR(IF(INDEX(tblStellplatz[SAP],MATCH(PlanLayout!V22,tblStellplatz[Stellplatz],0))="","leer",IF(LEFT(RIGHT(INDEX(tblStellplatz[SAP],MATCH(PlanLayout!V22,tblStellplatz[Stellplatz],0)),4),1)="0",RIGHT(INDEX(tblStellplatz[SAP],MATCH(PlanLayout!V22,tblStellplatz[Stellplatz],0)),5),RIGHT(INDEX(tblStellplatz[SAP],MATCH(PlanLayout!V22,tblStellplatz[Stellplatz],0)),4))),"?"))</f>
        <v/>
      </c>
      <c r="W22" s="4">
        <f>IF(PlanLayout!W22="","",PlanLayout!W22&amp;CHAR(10)&amp;IFERROR(IF(INDEX(tblStellplatz[SAP],MATCH(PlanLayout!W22,tblStellplatz[Stellplatz],0))="","leer",IF(LEFT(RIGHT(INDEX(tblStellplatz[SAP],MATCH(PlanLayout!W22,tblStellplatz[Stellplatz],0)),4),1)="0",RIGHT(INDEX(tblStellplatz[SAP],MATCH(PlanLayout!W22,tblStellplatz[Stellplatz],0)),5),RIGHT(INDEX(tblStellplatz[SAP],MATCH(PlanLayout!W22,tblStellplatz[Stellplatz],0)),4))),"?"))</f>
        <v/>
      </c>
      <c r="X22" s="4">
        <f>IF(PlanLayout!X22="","",PlanLayout!X22&amp;CHAR(10)&amp;IFERROR(IF(INDEX(tblStellplatz[SAP],MATCH(PlanLayout!X22,tblStellplatz[Stellplatz],0))="","leer",IF(LEFT(RIGHT(INDEX(tblStellplatz[SAP],MATCH(PlanLayout!X22,tblStellplatz[Stellplatz],0)),4),1)="0",RIGHT(INDEX(tblStellplatz[SAP],MATCH(PlanLayout!X22,tblStellplatz[Stellplatz],0)),5),RIGHT(INDEX(tblStellplatz[SAP],MATCH(PlanLayout!X22,tblStellplatz[Stellplatz],0)),4))),"?"))</f>
        <v/>
      </c>
      <c r="Y22" s="4">
        <f>IF(PlanLayout!Y22="","",PlanLayout!Y22&amp;CHAR(10)&amp;IFERROR(IF(INDEX(tblStellplatz[SAP],MATCH(PlanLayout!Y22,tblStellplatz[Stellplatz],0))="","leer",IF(LEFT(RIGHT(INDEX(tblStellplatz[SAP],MATCH(PlanLayout!Y22,tblStellplatz[Stellplatz],0)),4),1)="0",RIGHT(INDEX(tblStellplatz[SAP],MATCH(PlanLayout!Y22,tblStellplatz[Stellplatz],0)),5),RIGHT(INDEX(tblStellplatz[SAP],MATCH(PlanLayout!Y22,tblStellplatz[Stellplatz],0)),4))),"?"))</f>
        <v/>
      </c>
      <c r="Z22" s="4">
        <f>IF(PlanLayout!Z22="","",PlanLayout!Z22&amp;CHAR(10)&amp;IFERROR(IF(INDEX(tblStellplatz[SAP],MATCH(PlanLayout!Z22,tblStellplatz[Stellplatz],0))="","leer",IF(LEFT(RIGHT(INDEX(tblStellplatz[SAP],MATCH(PlanLayout!Z22,tblStellplatz[Stellplatz],0)),4),1)="0",RIGHT(INDEX(tblStellplatz[SAP],MATCH(PlanLayout!Z22,tblStellplatz[Stellplatz],0)),5),RIGHT(INDEX(tblStellplatz[SAP],MATCH(PlanLayout!Z22,tblStellplatz[Stellplatz],0)),4))),"?"))</f>
        <v/>
      </c>
      <c r="AA22" s="4">
        <f>IF(PlanLayout!AA22="","",PlanLayout!AA22&amp;CHAR(10)&amp;IFERROR(IF(INDEX(tblStellplatz[SAP],MATCH(PlanLayout!AA22,tblStellplatz[Stellplatz],0))="","leer",IF(LEFT(RIGHT(INDEX(tblStellplatz[SAP],MATCH(PlanLayout!AA22,tblStellplatz[Stellplatz],0)),4),1)="0",RIGHT(INDEX(tblStellplatz[SAP],MATCH(PlanLayout!AA22,tblStellplatz[Stellplatz],0)),5),RIGHT(INDEX(tblStellplatz[SAP],MATCH(PlanLayout!AA22,tblStellplatz[Stellplatz],0)),4))),"?"))</f>
        <v/>
      </c>
      <c r="AB22" s="4">
        <f>IF(PlanLayout!AB22="","",PlanLayout!AB22&amp;CHAR(10)&amp;IFERROR(IF(INDEX(tblStellplatz[SAP],MATCH(PlanLayout!AB22,tblStellplatz[Stellplatz],0))="","leer",IF(LEFT(RIGHT(INDEX(tblStellplatz[SAP],MATCH(PlanLayout!AB22,tblStellplatz[Stellplatz],0)),4),1)="0",RIGHT(INDEX(tblStellplatz[SAP],MATCH(PlanLayout!AB22,tblStellplatz[Stellplatz],0)),5),RIGHT(INDEX(tblStellplatz[SAP],MATCH(PlanLayout!AB22,tblStellplatz[Stellplatz],0)),4))),"?"))</f>
        <v/>
      </c>
      <c r="AC22" s="4">
        <f>IF(PlanLayout!AC22="","",PlanLayout!AC22&amp;CHAR(10)&amp;IFERROR(IF(INDEX(tblStellplatz[SAP],MATCH(PlanLayout!AC22,tblStellplatz[Stellplatz],0))="","leer",IF(LEFT(RIGHT(INDEX(tblStellplatz[SAP],MATCH(PlanLayout!AC22,tblStellplatz[Stellplatz],0)),4),1)="0",RIGHT(INDEX(tblStellplatz[SAP],MATCH(PlanLayout!AC22,tblStellplatz[Stellplatz],0)),5),RIGHT(INDEX(tblStellplatz[SAP],MATCH(PlanLayout!AC22,tblStellplatz[Stellplatz],0)),4))),"?"))</f>
        <v/>
      </c>
      <c r="AD22" s="4">
        <f>IF(PlanLayout!AD22="","",PlanLayout!AD22&amp;CHAR(10)&amp;IFERROR(IF(INDEX(tblStellplatz[SAP],MATCH(PlanLayout!AD22,tblStellplatz[Stellplatz],0))="","leer",IF(LEFT(RIGHT(INDEX(tblStellplatz[SAP],MATCH(PlanLayout!AD22,tblStellplatz[Stellplatz],0)),4),1)="0",RIGHT(INDEX(tblStellplatz[SAP],MATCH(PlanLayout!AD22,tblStellplatz[Stellplatz],0)),5),RIGHT(INDEX(tblStellplatz[SAP],MATCH(PlanLayout!AD22,tblStellplatz[Stellplatz],0)),4))),"?"))</f>
        <v/>
      </c>
      <c r="AE22" s="4">
        <f>IF(PlanLayout!AE22="","",PlanLayout!AE22&amp;CHAR(10)&amp;IFERROR(IF(INDEX(tblStellplatz[SAP],MATCH(PlanLayout!AE22,tblStellplatz[Stellplatz],0))="","leer",IF(LEFT(RIGHT(INDEX(tblStellplatz[SAP],MATCH(PlanLayout!AE22,tblStellplatz[Stellplatz],0)),4),1)="0",RIGHT(INDEX(tblStellplatz[SAP],MATCH(PlanLayout!AE22,tblStellplatz[Stellplatz],0)),5),RIGHT(INDEX(tblStellplatz[SAP],MATCH(PlanLayout!AE22,tblStellplatz[Stellplatz],0)),4))),"?"))</f>
        <v/>
      </c>
      <c r="AF22" s="4">
        <f>IF(PlanLayout!AF22="","",PlanLayout!AF22&amp;CHAR(10)&amp;IFERROR(IF(INDEX(tblStellplatz[SAP],MATCH(PlanLayout!AF22,tblStellplatz[Stellplatz],0))="","leer",IF(LEFT(RIGHT(INDEX(tblStellplatz[SAP],MATCH(PlanLayout!AF22,tblStellplatz[Stellplatz],0)),4),1)="0",RIGHT(INDEX(tblStellplatz[SAP],MATCH(PlanLayout!AF22,tblStellplatz[Stellplatz],0)),5),RIGHT(INDEX(tblStellplatz[SAP],MATCH(PlanLayout!AF22,tblStellplatz[Stellplatz],0)),4))),"?"))</f>
        <v/>
      </c>
      <c r="AG22" s="4">
        <f>IF(PlanLayout!AG22="","",PlanLayout!AG22&amp;CHAR(10)&amp;IFERROR(IF(INDEX(tblStellplatz[SAP],MATCH(PlanLayout!AG22,tblStellplatz[Stellplatz],0))="","leer",IF(LEFT(RIGHT(INDEX(tblStellplatz[SAP],MATCH(PlanLayout!AG22,tblStellplatz[Stellplatz],0)),4),1)="0",RIGHT(INDEX(tblStellplatz[SAP],MATCH(PlanLayout!AG22,tblStellplatz[Stellplatz],0)),5),RIGHT(INDEX(tblStellplatz[SAP],MATCH(PlanLayout!AG22,tblStellplatz[Stellplatz],0)),4))),"?"))</f>
        <v/>
      </c>
      <c r="AH22" s="4">
        <f>IF(PlanLayout!AH22="","",PlanLayout!AH22&amp;CHAR(10)&amp;IFERROR(IF(INDEX(tblStellplatz[SAP],MATCH(PlanLayout!AH22,tblStellplatz[Stellplatz],0))="","leer",IF(LEFT(RIGHT(INDEX(tblStellplatz[SAP],MATCH(PlanLayout!AH22,tblStellplatz[Stellplatz],0)),4),1)="0",RIGHT(INDEX(tblStellplatz[SAP],MATCH(PlanLayout!AH22,tblStellplatz[Stellplatz],0)),5),RIGHT(INDEX(tblStellplatz[SAP],MATCH(PlanLayout!AH22,tblStellplatz[Stellplatz],0)),4))),"?"))</f>
        <v/>
      </c>
      <c r="AI22" s="4">
        <f>IF(PlanLayout!AI22="","",PlanLayout!AI22&amp;CHAR(10)&amp;IFERROR(IF(INDEX(tblStellplatz[SAP],MATCH(PlanLayout!AI22,tblStellplatz[Stellplatz],0))="","leer",IF(LEFT(RIGHT(INDEX(tblStellplatz[SAP],MATCH(PlanLayout!AI22,tblStellplatz[Stellplatz],0)),4),1)="0",RIGHT(INDEX(tblStellplatz[SAP],MATCH(PlanLayout!AI22,tblStellplatz[Stellplatz],0)),5),RIGHT(INDEX(tblStellplatz[SAP],MATCH(PlanLayout!AI22,tblStellplatz[Stellplatz],0)),4))),"?"))</f>
        <v/>
      </c>
      <c r="AJ22" s="4">
        <f>IF(PlanLayout!AJ22="","",PlanLayout!AJ22&amp;CHAR(10)&amp;IFERROR(IF(INDEX(tblStellplatz[SAP],MATCH(PlanLayout!AJ22,tblStellplatz[Stellplatz],0))="","leer",IF(LEFT(RIGHT(INDEX(tblStellplatz[SAP],MATCH(PlanLayout!AJ22,tblStellplatz[Stellplatz],0)),4),1)="0",RIGHT(INDEX(tblStellplatz[SAP],MATCH(PlanLayout!AJ22,tblStellplatz[Stellplatz],0)),5),RIGHT(INDEX(tblStellplatz[SAP],MATCH(PlanLayout!AJ22,tblStellplatz[Stellplatz],0)),4))),"?"))</f>
        <v/>
      </c>
      <c r="AK22" s="4">
        <f>IF(PlanLayout!AK22="","",PlanLayout!AK22&amp;CHAR(10)&amp;IFERROR(IF(INDEX(tblStellplatz[SAP],MATCH(PlanLayout!AK22,tblStellplatz[Stellplatz],0))="","leer",IF(LEFT(RIGHT(INDEX(tblStellplatz[SAP],MATCH(PlanLayout!AK22,tblStellplatz[Stellplatz],0)),4),1)="0",RIGHT(INDEX(tblStellplatz[SAP],MATCH(PlanLayout!AK22,tblStellplatz[Stellplatz],0)),5),RIGHT(INDEX(tblStellplatz[SAP],MATCH(PlanLayout!AK22,tblStellplatz[Stellplatz],0)),4))),"?"))</f>
        <v/>
      </c>
      <c r="AL22" s="4">
        <f>IF(PlanLayout!AL22="","",PlanLayout!AL22&amp;CHAR(10)&amp;IFERROR(IF(INDEX(tblStellplatz[SAP],MATCH(PlanLayout!AL22,tblStellplatz[Stellplatz],0))="","leer",IF(LEFT(RIGHT(INDEX(tblStellplatz[SAP],MATCH(PlanLayout!AL22,tblStellplatz[Stellplatz],0)),4),1)="0",RIGHT(INDEX(tblStellplatz[SAP],MATCH(PlanLayout!AL22,tblStellplatz[Stellplatz],0)),5),RIGHT(INDEX(tblStellplatz[SAP],MATCH(PlanLayout!AL22,tblStellplatz[Stellplatz],0)),4))),"?"))</f>
        <v/>
      </c>
      <c r="AM22" s="4">
        <f>IF(PlanLayout!AM22="","",PlanLayout!AM22&amp;CHAR(10)&amp;IFERROR(IF(INDEX(tblStellplatz[SAP],MATCH(PlanLayout!AM22,tblStellplatz[Stellplatz],0))="","leer",IF(LEFT(RIGHT(INDEX(tblStellplatz[SAP],MATCH(PlanLayout!AM22,tblStellplatz[Stellplatz],0)),4),1)="0",RIGHT(INDEX(tblStellplatz[SAP],MATCH(PlanLayout!AM22,tblStellplatz[Stellplatz],0)),5),RIGHT(INDEX(tblStellplatz[SAP],MATCH(PlanLayout!AM22,tblStellplatz[Stellplatz],0)),4))),"?"))</f>
        <v/>
      </c>
      <c r="AN22" s="4">
        <f>IF(PlanLayout!AN22="","",PlanLayout!AN22&amp;CHAR(10)&amp;IFERROR(IF(INDEX(tblStellplatz[SAP],MATCH(PlanLayout!AN22,tblStellplatz[Stellplatz],0))="","leer",IF(LEFT(RIGHT(INDEX(tblStellplatz[SAP],MATCH(PlanLayout!AN22,tblStellplatz[Stellplatz],0)),4),1)="0",RIGHT(INDEX(tblStellplatz[SAP],MATCH(PlanLayout!AN22,tblStellplatz[Stellplatz],0)),5),RIGHT(INDEX(tblStellplatz[SAP],MATCH(PlanLayout!AN22,tblStellplatz[Stellplatz],0)),4))),"?"))</f>
        <v/>
      </c>
      <c r="AO22" s="4">
        <f>IF(PlanLayout!AO22="","",PlanLayout!AO22&amp;CHAR(10)&amp;IFERROR(IF(INDEX(tblStellplatz[SAP],MATCH(PlanLayout!AO22,tblStellplatz[Stellplatz],0))="","leer",IF(LEFT(RIGHT(INDEX(tblStellplatz[SAP],MATCH(PlanLayout!AO22,tblStellplatz[Stellplatz],0)),4),1)="0",RIGHT(INDEX(tblStellplatz[SAP],MATCH(PlanLayout!AO22,tblStellplatz[Stellplatz],0)),5),RIGHT(INDEX(tblStellplatz[SAP],MATCH(PlanLayout!AO22,tblStellplatz[Stellplatz],0)),4))),"?"))</f>
        <v/>
      </c>
    </row>
    <row r="23" ht="30" customHeight="1">
      <c r="B23" s="4">
        <f>IF(PlanLayout!B23="","",PlanLayout!B23&amp;CHAR(10)&amp;IFERROR(IF(INDEX(tblStellplatz[SAP],MATCH(PlanLayout!B23,tblStellplatz[Stellplatz],0))="","leer",IF(LEFT(RIGHT(INDEX(tblStellplatz[SAP],MATCH(PlanLayout!B23,tblStellplatz[Stellplatz],0)),4),1)="0",RIGHT(INDEX(tblStellplatz[SAP],MATCH(PlanLayout!B23,tblStellplatz[Stellplatz],0)),5),RIGHT(INDEX(tblStellplatz[SAP],MATCH(PlanLayout!B23,tblStellplatz[Stellplatz],0)),4))),"?"))</f>
        <v/>
      </c>
      <c r="C23" s="4">
        <f>IF(PlanLayout!C23="","",PlanLayout!C23&amp;CHAR(10)&amp;IFERROR(IF(INDEX(tblStellplatz[SAP],MATCH(PlanLayout!C23,tblStellplatz[Stellplatz],0))="","leer",IF(LEFT(RIGHT(INDEX(tblStellplatz[SAP],MATCH(PlanLayout!C23,tblStellplatz[Stellplatz],0)),4),1)="0",RIGHT(INDEX(tblStellplatz[SAP],MATCH(PlanLayout!C23,tblStellplatz[Stellplatz],0)),5),RIGHT(INDEX(tblStellplatz[SAP],MATCH(PlanLayout!C23,tblStellplatz[Stellplatz],0)),4))),"?"))</f>
        <v/>
      </c>
      <c r="D23" s="4">
        <f>IF(PlanLayout!D23="","",PlanLayout!D23&amp;CHAR(10)&amp;IFERROR(IF(INDEX(tblStellplatz[SAP],MATCH(PlanLayout!D23,tblStellplatz[Stellplatz],0))="","leer",IF(LEFT(RIGHT(INDEX(tblStellplatz[SAP],MATCH(PlanLayout!D23,tblStellplatz[Stellplatz],0)),4),1)="0",RIGHT(INDEX(tblStellplatz[SAP],MATCH(PlanLayout!D23,tblStellplatz[Stellplatz],0)),5),RIGHT(INDEX(tblStellplatz[SAP],MATCH(PlanLayout!D23,tblStellplatz[Stellplatz],0)),4))),"?"))</f>
        <v/>
      </c>
      <c r="E23" s="4">
        <f>IF(PlanLayout!E23="","",PlanLayout!E23&amp;CHAR(10)&amp;IFERROR(IF(INDEX(tblStellplatz[SAP],MATCH(PlanLayout!E23,tblStellplatz[Stellplatz],0))="","leer",IF(LEFT(RIGHT(INDEX(tblStellplatz[SAP],MATCH(PlanLayout!E23,tblStellplatz[Stellplatz],0)),4),1)="0",RIGHT(INDEX(tblStellplatz[SAP],MATCH(PlanLayout!E23,tblStellplatz[Stellplatz],0)),5),RIGHT(INDEX(tblStellplatz[SAP],MATCH(PlanLayout!E23,tblStellplatz[Stellplatz],0)),4))),"?"))</f>
        <v/>
      </c>
      <c r="F23" s="4">
        <f>IF(PlanLayout!F23="","",PlanLayout!F23&amp;CHAR(10)&amp;IFERROR(IF(INDEX(tblStellplatz[SAP],MATCH(PlanLayout!F23,tblStellplatz[Stellplatz],0))="","leer",IF(LEFT(RIGHT(INDEX(tblStellplatz[SAP],MATCH(PlanLayout!F23,tblStellplatz[Stellplatz],0)),4),1)="0",RIGHT(INDEX(tblStellplatz[SAP],MATCH(PlanLayout!F23,tblStellplatz[Stellplatz],0)),5),RIGHT(INDEX(tblStellplatz[SAP],MATCH(PlanLayout!F23,tblStellplatz[Stellplatz],0)),4))),"?"))</f>
        <v/>
      </c>
      <c r="G23" s="4">
        <f>IF(PlanLayout!G23="","",PlanLayout!G23&amp;CHAR(10)&amp;IFERROR(IF(INDEX(tblStellplatz[SAP],MATCH(PlanLayout!G23,tblStellplatz[Stellplatz],0))="","leer",IF(LEFT(RIGHT(INDEX(tblStellplatz[SAP],MATCH(PlanLayout!G23,tblStellplatz[Stellplatz],0)),4),1)="0",RIGHT(INDEX(tblStellplatz[SAP],MATCH(PlanLayout!G23,tblStellplatz[Stellplatz],0)),5),RIGHT(INDEX(tblStellplatz[SAP],MATCH(PlanLayout!G23,tblStellplatz[Stellplatz],0)),4))),"?"))</f>
        <v/>
      </c>
      <c r="H23" s="4">
        <f>IF(PlanLayout!H23="","",PlanLayout!H23&amp;CHAR(10)&amp;IFERROR(IF(INDEX(tblStellplatz[SAP],MATCH(PlanLayout!H23,tblStellplatz[Stellplatz],0))="","leer",IF(LEFT(RIGHT(INDEX(tblStellplatz[SAP],MATCH(PlanLayout!H23,tblStellplatz[Stellplatz],0)),4),1)="0",RIGHT(INDEX(tblStellplatz[SAP],MATCH(PlanLayout!H23,tblStellplatz[Stellplatz],0)),5),RIGHT(INDEX(tblStellplatz[SAP],MATCH(PlanLayout!H23,tblStellplatz[Stellplatz],0)),4))),"?"))</f>
        <v/>
      </c>
      <c r="I23" s="4">
        <f>IF(PlanLayout!I23="","",PlanLayout!I23&amp;CHAR(10)&amp;IFERROR(IF(INDEX(tblStellplatz[SAP],MATCH(PlanLayout!I23,tblStellplatz[Stellplatz],0))="","leer",IF(LEFT(RIGHT(INDEX(tblStellplatz[SAP],MATCH(PlanLayout!I23,tblStellplatz[Stellplatz],0)),4),1)="0",RIGHT(INDEX(tblStellplatz[SAP],MATCH(PlanLayout!I23,tblStellplatz[Stellplatz],0)),5),RIGHT(INDEX(tblStellplatz[SAP],MATCH(PlanLayout!I23,tblStellplatz[Stellplatz],0)),4))),"?"))</f>
        <v/>
      </c>
      <c r="J23" s="4">
        <f>IF(PlanLayout!J23="","",PlanLayout!J23&amp;CHAR(10)&amp;IFERROR(IF(INDEX(tblStellplatz[SAP],MATCH(PlanLayout!J23,tblStellplatz[Stellplatz],0))="","leer",IF(LEFT(RIGHT(INDEX(tblStellplatz[SAP],MATCH(PlanLayout!J23,tblStellplatz[Stellplatz],0)),4),1)="0",RIGHT(INDEX(tblStellplatz[SAP],MATCH(PlanLayout!J23,tblStellplatz[Stellplatz],0)),5),RIGHT(INDEX(tblStellplatz[SAP],MATCH(PlanLayout!J23,tblStellplatz[Stellplatz],0)),4))),"?"))</f>
        <v/>
      </c>
      <c r="K23" s="4">
        <f>IF(PlanLayout!K23="","",PlanLayout!K23&amp;CHAR(10)&amp;IFERROR(IF(INDEX(tblStellplatz[SAP],MATCH(PlanLayout!K23,tblStellplatz[Stellplatz],0))="","leer",IF(LEFT(RIGHT(INDEX(tblStellplatz[SAP],MATCH(PlanLayout!K23,tblStellplatz[Stellplatz],0)),4),1)="0",RIGHT(INDEX(tblStellplatz[SAP],MATCH(PlanLayout!K23,tblStellplatz[Stellplatz],0)),5),RIGHT(INDEX(tblStellplatz[SAP],MATCH(PlanLayout!K23,tblStellplatz[Stellplatz],0)),4))),"?"))</f>
        <v/>
      </c>
      <c r="L23" s="4">
        <f>IF(PlanLayout!L23="","",PlanLayout!L23&amp;CHAR(10)&amp;IFERROR(IF(INDEX(tblStellplatz[SAP],MATCH(PlanLayout!L23,tblStellplatz[Stellplatz],0))="","leer",IF(LEFT(RIGHT(INDEX(tblStellplatz[SAP],MATCH(PlanLayout!L23,tblStellplatz[Stellplatz],0)),4),1)="0",RIGHT(INDEX(tblStellplatz[SAP],MATCH(PlanLayout!L23,tblStellplatz[Stellplatz],0)),5),RIGHT(INDEX(tblStellplatz[SAP],MATCH(PlanLayout!L23,tblStellplatz[Stellplatz],0)),4))),"?"))</f>
        <v/>
      </c>
      <c r="M23" s="4">
        <f>IF(PlanLayout!M23="","",PlanLayout!M23&amp;CHAR(10)&amp;IFERROR(IF(INDEX(tblStellplatz[SAP],MATCH(PlanLayout!M23,tblStellplatz[Stellplatz],0))="","leer",IF(LEFT(RIGHT(INDEX(tblStellplatz[SAP],MATCH(PlanLayout!M23,tblStellplatz[Stellplatz],0)),4),1)="0",RIGHT(INDEX(tblStellplatz[SAP],MATCH(PlanLayout!M23,tblStellplatz[Stellplatz],0)),5),RIGHT(INDEX(tblStellplatz[SAP],MATCH(PlanLayout!M23,tblStellplatz[Stellplatz],0)),4))),"?"))</f>
        <v/>
      </c>
      <c r="N23" s="4">
        <f>IF(PlanLayout!N23="","",PlanLayout!N23&amp;CHAR(10)&amp;IFERROR(IF(INDEX(tblStellplatz[SAP],MATCH(PlanLayout!N23,tblStellplatz[Stellplatz],0))="","leer",IF(LEFT(RIGHT(INDEX(tblStellplatz[SAP],MATCH(PlanLayout!N23,tblStellplatz[Stellplatz],0)),4),1)="0",RIGHT(INDEX(tblStellplatz[SAP],MATCH(PlanLayout!N23,tblStellplatz[Stellplatz],0)),5),RIGHT(INDEX(tblStellplatz[SAP],MATCH(PlanLayout!N23,tblStellplatz[Stellplatz],0)),4))),"?"))</f>
        <v/>
      </c>
      <c r="O23" s="4">
        <f>IF(PlanLayout!O23="","",PlanLayout!O23&amp;CHAR(10)&amp;IFERROR(IF(INDEX(tblStellplatz[SAP],MATCH(PlanLayout!O23,tblStellplatz[Stellplatz],0))="","leer",IF(LEFT(RIGHT(INDEX(tblStellplatz[SAP],MATCH(PlanLayout!O23,tblStellplatz[Stellplatz],0)),4),1)="0",RIGHT(INDEX(tblStellplatz[SAP],MATCH(PlanLayout!O23,tblStellplatz[Stellplatz],0)),5),RIGHT(INDEX(tblStellplatz[SAP],MATCH(PlanLayout!O23,tblStellplatz[Stellplatz],0)),4))),"?"))</f>
        <v/>
      </c>
      <c r="P23" s="4">
        <f>IF(PlanLayout!P23="","",PlanLayout!P23&amp;CHAR(10)&amp;IFERROR(IF(INDEX(tblStellplatz[SAP],MATCH(PlanLayout!P23,tblStellplatz[Stellplatz],0))="","leer",IF(LEFT(RIGHT(INDEX(tblStellplatz[SAP],MATCH(PlanLayout!P23,tblStellplatz[Stellplatz],0)),4),1)="0",RIGHT(INDEX(tblStellplatz[SAP],MATCH(PlanLayout!P23,tblStellplatz[Stellplatz],0)),5),RIGHT(INDEX(tblStellplatz[SAP],MATCH(PlanLayout!P23,tblStellplatz[Stellplatz],0)),4))),"?"))</f>
        <v/>
      </c>
      <c r="Q23" s="4">
        <f>IF(PlanLayout!Q23="","",PlanLayout!Q23&amp;CHAR(10)&amp;IFERROR(IF(INDEX(tblStellplatz[SAP],MATCH(PlanLayout!Q23,tblStellplatz[Stellplatz],0))="","leer",IF(LEFT(RIGHT(INDEX(tblStellplatz[SAP],MATCH(PlanLayout!Q23,tblStellplatz[Stellplatz],0)),4),1)="0",RIGHT(INDEX(tblStellplatz[SAP],MATCH(PlanLayout!Q23,tblStellplatz[Stellplatz],0)),5),RIGHT(INDEX(tblStellplatz[SAP],MATCH(PlanLayout!Q23,tblStellplatz[Stellplatz],0)),4))),"?"))</f>
        <v/>
      </c>
      <c r="R23" s="4">
        <f>IF(PlanLayout!R23="","",PlanLayout!R23&amp;CHAR(10)&amp;IFERROR(IF(INDEX(tblStellplatz[SAP],MATCH(PlanLayout!R23,tblStellplatz[Stellplatz],0))="","leer",IF(LEFT(RIGHT(INDEX(tblStellplatz[SAP],MATCH(PlanLayout!R23,tblStellplatz[Stellplatz],0)),4),1)="0",RIGHT(INDEX(tblStellplatz[SAP],MATCH(PlanLayout!R23,tblStellplatz[Stellplatz],0)),5),RIGHT(INDEX(tblStellplatz[SAP],MATCH(PlanLayout!R23,tblStellplatz[Stellplatz],0)),4))),"?"))</f>
        <v/>
      </c>
      <c r="S23" s="4">
        <f>IF(PlanLayout!S23="","",PlanLayout!S23&amp;CHAR(10)&amp;IFERROR(IF(INDEX(tblStellplatz[SAP],MATCH(PlanLayout!S23,tblStellplatz[Stellplatz],0))="","leer",IF(LEFT(RIGHT(INDEX(tblStellplatz[SAP],MATCH(PlanLayout!S23,tblStellplatz[Stellplatz],0)),4),1)="0",RIGHT(INDEX(tblStellplatz[SAP],MATCH(PlanLayout!S23,tblStellplatz[Stellplatz],0)),5),RIGHT(INDEX(tblStellplatz[SAP],MATCH(PlanLayout!S23,tblStellplatz[Stellplatz],0)),4))),"?"))</f>
        <v/>
      </c>
      <c r="T23" s="4">
        <f>IF(PlanLayout!T23="","",PlanLayout!T23&amp;CHAR(10)&amp;IFERROR(IF(INDEX(tblStellplatz[SAP],MATCH(PlanLayout!T23,tblStellplatz[Stellplatz],0))="","leer",IF(LEFT(RIGHT(INDEX(tblStellplatz[SAP],MATCH(PlanLayout!T23,tblStellplatz[Stellplatz],0)),4),1)="0",RIGHT(INDEX(tblStellplatz[SAP],MATCH(PlanLayout!T23,tblStellplatz[Stellplatz],0)),5),RIGHT(INDEX(tblStellplatz[SAP],MATCH(PlanLayout!T23,tblStellplatz[Stellplatz],0)),4))),"?"))</f>
        <v/>
      </c>
      <c r="U23" s="4">
        <f>IF(PlanLayout!U23="","",PlanLayout!U23&amp;CHAR(10)&amp;IFERROR(IF(INDEX(tblStellplatz[SAP],MATCH(PlanLayout!U23,tblStellplatz[Stellplatz],0))="","leer",IF(LEFT(RIGHT(INDEX(tblStellplatz[SAP],MATCH(PlanLayout!U23,tblStellplatz[Stellplatz],0)),4),1)="0",RIGHT(INDEX(tblStellplatz[SAP],MATCH(PlanLayout!U23,tblStellplatz[Stellplatz],0)),5),RIGHT(INDEX(tblStellplatz[SAP],MATCH(PlanLayout!U23,tblStellplatz[Stellplatz],0)),4))),"?"))</f>
        <v/>
      </c>
      <c r="V23" s="4">
        <f>IF(PlanLayout!V23="","",PlanLayout!V23&amp;CHAR(10)&amp;IFERROR(IF(INDEX(tblStellplatz[SAP],MATCH(PlanLayout!V23,tblStellplatz[Stellplatz],0))="","leer",IF(LEFT(RIGHT(INDEX(tblStellplatz[SAP],MATCH(PlanLayout!V23,tblStellplatz[Stellplatz],0)),4),1)="0",RIGHT(INDEX(tblStellplatz[SAP],MATCH(PlanLayout!V23,tblStellplatz[Stellplatz],0)),5),RIGHT(INDEX(tblStellplatz[SAP],MATCH(PlanLayout!V23,tblStellplatz[Stellplatz],0)),4))),"?"))</f>
        <v/>
      </c>
      <c r="W23" s="4">
        <f>IF(PlanLayout!W23="","",PlanLayout!W23&amp;CHAR(10)&amp;IFERROR(IF(INDEX(tblStellplatz[SAP],MATCH(PlanLayout!W23,tblStellplatz[Stellplatz],0))="","leer",IF(LEFT(RIGHT(INDEX(tblStellplatz[SAP],MATCH(PlanLayout!W23,tblStellplatz[Stellplatz],0)),4),1)="0",RIGHT(INDEX(tblStellplatz[SAP],MATCH(PlanLayout!W23,tblStellplatz[Stellplatz],0)),5),RIGHT(INDEX(tblStellplatz[SAP],MATCH(PlanLayout!W23,tblStellplatz[Stellplatz],0)),4))),"?"))</f>
        <v/>
      </c>
      <c r="X23" s="4">
        <f>IF(PlanLayout!X23="","",PlanLayout!X23&amp;CHAR(10)&amp;IFERROR(IF(INDEX(tblStellplatz[SAP],MATCH(PlanLayout!X23,tblStellplatz[Stellplatz],0))="","leer",IF(LEFT(RIGHT(INDEX(tblStellplatz[SAP],MATCH(PlanLayout!X23,tblStellplatz[Stellplatz],0)),4),1)="0",RIGHT(INDEX(tblStellplatz[SAP],MATCH(PlanLayout!X23,tblStellplatz[Stellplatz],0)),5),RIGHT(INDEX(tblStellplatz[SAP],MATCH(PlanLayout!X23,tblStellplatz[Stellplatz],0)),4))),"?"))</f>
        <v/>
      </c>
      <c r="Y23" s="4">
        <f>IF(PlanLayout!Y23="","",PlanLayout!Y23&amp;CHAR(10)&amp;IFERROR(IF(INDEX(tblStellplatz[SAP],MATCH(PlanLayout!Y23,tblStellplatz[Stellplatz],0))="","leer",IF(LEFT(RIGHT(INDEX(tblStellplatz[SAP],MATCH(PlanLayout!Y23,tblStellplatz[Stellplatz],0)),4),1)="0",RIGHT(INDEX(tblStellplatz[SAP],MATCH(PlanLayout!Y23,tblStellplatz[Stellplatz],0)),5),RIGHT(INDEX(tblStellplatz[SAP],MATCH(PlanLayout!Y23,tblStellplatz[Stellplatz],0)),4))),"?"))</f>
        <v/>
      </c>
      <c r="Z23" s="4">
        <f>IF(PlanLayout!Z23="","",PlanLayout!Z23&amp;CHAR(10)&amp;IFERROR(IF(INDEX(tblStellplatz[SAP],MATCH(PlanLayout!Z23,tblStellplatz[Stellplatz],0))="","leer",IF(LEFT(RIGHT(INDEX(tblStellplatz[SAP],MATCH(PlanLayout!Z23,tblStellplatz[Stellplatz],0)),4),1)="0",RIGHT(INDEX(tblStellplatz[SAP],MATCH(PlanLayout!Z23,tblStellplatz[Stellplatz],0)),5),RIGHT(INDEX(tblStellplatz[SAP],MATCH(PlanLayout!Z23,tblStellplatz[Stellplatz],0)),4))),"?"))</f>
        <v/>
      </c>
      <c r="AA23" s="4">
        <f>IF(PlanLayout!AA23="","",PlanLayout!AA23&amp;CHAR(10)&amp;IFERROR(IF(INDEX(tblStellplatz[SAP],MATCH(PlanLayout!AA23,tblStellplatz[Stellplatz],0))="","leer",IF(LEFT(RIGHT(INDEX(tblStellplatz[SAP],MATCH(PlanLayout!AA23,tblStellplatz[Stellplatz],0)),4),1)="0",RIGHT(INDEX(tblStellplatz[SAP],MATCH(PlanLayout!AA23,tblStellplatz[Stellplatz],0)),5),RIGHT(INDEX(tblStellplatz[SAP],MATCH(PlanLayout!AA23,tblStellplatz[Stellplatz],0)),4))),"?"))</f>
        <v/>
      </c>
      <c r="AB23" s="4">
        <f>IF(PlanLayout!AB23="","",PlanLayout!AB23&amp;CHAR(10)&amp;IFERROR(IF(INDEX(tblStellplatz[SAP],MATCH(PlanLayout!AB23,tblStellplatz[Stellplatz],0))="","leer",IF(LEFT(RIGHT(INDEX(tblStellplatz[SAP],MATCH(PlanLayout!AB23,tblStellplatz[Stellplatz],0)),4),1)="0",RIGHT(INDEX(tblStellplatz[SAP],MATCH(PlanLayout!AB23,tblStellplatz[Stellplatz],0)),5),RIGHT(INDEX(tblStellplatz[SAP],MATCH(PlanLayout!AB23,tblStellplatz[Stellplatz],0)),4))),"?"))</f>
        <v/>
      </c>
      <c r="AC23" s="4">
        <f>IF(PlanLayout!AC23="","",PlanLayout!AC23&amp;CHAR(10)&amp;IFERROR(IF(INDEX(tblStellplatz[SAP],MATCH(PlanLayout!AC23,tblStellplatz[Stellplatz],0))="","leer",IF(LEFT(RIGHT(INDEX(tblStellplatz[SAP],MATCH(PlanLayout!AC23,tblStellplatz[Stellplatz],0)),4),1)="0",RIGHT(INDEX(tblStellplatz[SAP],MATCH(PlanLayout!AC23,tblStellplatz[Stellplatz],0)),5),RIGHT(INDEX(tblStellplatz[SAP],MATCH(PlanLayout!AC23,tblStellplatz[Stellplatz],0)),4))),"?"))</f>
        <v/>
      </c>
      <c r="AD23" s="4">
        <f>IF(PlanLayout!AD23="","",PlanLayout!AD23&amp;CHAR(10)&amp;IFERROR(IF(INDEX(tblStellplatz[SAP],MATCH(PlanLayout!AD23,tblStellplatz[Stellplatz],0))="","leer",IF(LEFT(RIGHT(INDEX(tblStellplatz[SAP],MATCH(PlanLayout!AD23,tblStellplatz[Stellplatz],0)),4),1)="0",RIGHT(INDEX(tblStellplatz[SAP],MATCH(PlanLayout!AD23,tblStellplatz[Stellplatz],0)),5),RIGHT(INDEX(tblStellplatz[SAP],MATCH(PlanLayout!AD23,tblStellplatz[Stellplatz],0)),4))),"?"))</f>
        <v/>
      </c>
      <c r="AE23" s="4">
        <f>IF(PlanLayout!AE23="","",PlanLayout!AE23&amp;CHAR(10)&amp;IFERROR(IF(INDEX(tblStellplatz[SAP],MATCH(PlanLayout!AE23,tblStellplatz[Stellplatz],0))="","leer",IF(LEFT(RIGHT(INDEX(tblStellplatz[SAP],MATCH(PlanLayout!AE23,tblStellplatz[Stellplatz],0)),4),1)="0",RIGHT(INDEX(tblStellplatz[SAP],MATCH(PlanLayout!AE23,tblStellplatz[Stellplatz],0)),5),RIGHT(INDEX(tblStellplatz[SAP],MATCH(PlanLayout!AE23,tblStellplatz[Stellplatz],0)),4))),"?"))</f>
        <v/>
      </c>
      <c r="AF23" s="4">
        <f>IF(PlanLayout!AF23="","",PlanLayout!AF23&amp;CHAR(10)&amp;IFERROR(IF(INDEX(tblStellplatz[SAP],MATCH(PlanLayout!AF23,tblStellplatz[Stellplatz],0))="","leer",IF(LEFT(RIGHT(INDEX(tblStellplatz[SAP],MATCH(PlanLayout!AF23,tblStellplatz[Stellplatz],0)),4),1)="0",RIGHT(INDEX(tblStellplatz[SAP],MATCH(PlanLayout!AF23,tblStellplatz[Stellplatz],0)),5),RIGHT(INDEX(tblStellplatz[SAP],MATCH(PlanLayout!AF23,tblStellplatz[Stellplatz],0)),4))),"?"))</f>
        <v/>
      </c>
      <c r="AG23" s="4">
        <f>IF(PlanLayout!AG23="","",PlanLayout!AG23&amp;CHAR(10)&amp;IFERROR(IF(INDEX(tblStellplatz[SAP],MATCH(PlanLayout!AG23,tblStellplatz[Stellplatz],0))="","leer",IF(LEFT(RIGHT(INDEX(tblStellplatz[SAP],MATCH(PlanLayout!AG23,tblStellplatz[Stellplatz],0)),4),1)="0",RIGHT(INDEX(tblStellplatz[SAP],MATCH(PlanLayout!AG23,tblStellplatz[Stellplatz],0)),5),RIGHT(INDEX(tblStellplatz[SAP],MATCH(PlanLayout!AG23,tblStellplatz[Stellplatz],0)),4))),"?"))</f>
        <v/>
      </c>
      <c r="AH23" s="4">
        <f>IF(PlanLayout!AH23="","",PlanLayout!AH23&amp;CHAR(10)&amp;IFERROR(IF(INDEX(tblStellplatz[SAP],MATCH(PlanLayout!AH23,tblStellplatz[Stellplatz],0))="","leer",IF(LEFT(RIGHT(INDEX(tblStellplatz[SAP],MATCH(PlanLayout!AH23,tblStellplatz[Stellplatz],0)),4),1)="0",RIGHT(INDEX(tblStellplatz[SAP],MATCH(PlanLayout!AH23,tblStellplatz[Stellplatz],0)),5),RIGHT(INDEX(tblStellplatz[SAP],MATCH(PlanLayout!AH23,tblStellplatz[Stellplatz],0)),4))),"?"))</f>
        <v/>
      </c>
      <c r="AI23" s="4">
        <f>IF(PlanLayout!AI23="","",PlanLayout!AI23&amp;CHAR(10)&amp;IFERROR(IF(INDEX(tblStellplatz[SAP],MATCH(PlanLayout!AI23,tblStellplatz[Stellplatz],0))="","leer",IF(LEFT(RIGHT(INDEX(tblStellplatz[SAP],MATCH(PlanLayout!AI23,tblStellplatz[Stellplatz],0)),4),1)="0",RIGHT(INDEX(tblStellplatz[SAP],MATCH(PlanLayout!AI23,tblStellplatz[Stellplatz],0)),5),RIGHT(INDEX(tblStellplatz[SAP],MATCH(PlanLayout!AI23,tblStellplatz[Stellplatz],0)),4))),"?"))</f>
        <v/>
      </c>
      <c r="AJ23" s="4">
        <f>IF(PlanLayout!AJ23="","",PlanLayout!AJ23&amp;CHAR(10)&amp;IFERROR(IF(INDEX(tblStellplatz[SAP],MATCH(PlanLayout!AJ23,tblStellplatz[Stellplatz],0))="","leer",IF(LEFT(RIGHT(INDEX(tblStellplatz[SAP],MATCH(PlanLayout!AJ23,tblStellplatz[Stellplatz],0)),4),1)="0",RIGHT(INDEX(tblStellplatz[SAP],MATCH(PlanLayout!AJ23,tblStellplatz[Stellplatz],0)),5),RIGHT(INDEX(tblStellplatz[SAP],MATCH(PlanLayout!AJ23,tblStellplatz[Stellplatz],0)),4))),"?"))</f>
        <v/>
      </c>
      <c r="AK23" s="4">
        <f>IF(PlanLayout!AK23="","",PlanLayout!AK23&amp;CHAR(10)&amp;IFERROR(IF(INDEX(tblStellplatz[SAP],MATCH(PlanLayout!AK23,tblStellplatz[Stellplatz],0))="","leer",IF(LEFT(RIGHT(INDEX(tblStellplatz[SAP],MATCH(PlanLayout!AK23,tblStellplatz[Stellplatz],0)),4),1)="0",RIGHT(INDEX(tblStellplatz[SAP],MATCH(PlanLayout!AK23,tblStellplatz[Stellplatz],0)),5),RIGHT(INDEX(tblStellplatz[SAP],MATCH(PlanLayout!AK23,tblStellplatz[Stellplatz],0)),4))),"?"))</f>
        <v/>
      </c>
      <c r="AL23" s="4">
        <f>IF(PlanLayout!AL23="","",PlanLayout!AL23&amp;CHAR(10)&amp;IFERROR(IF(INDEX(tblStellplatz[SAP],MATCH(PlanLayout!AL23,tblStellplatz[Stellplatz],0))="","leer",IF(LEFT(RIGHT(INDEX(tblStellplatz[SAP],MATCH(PlanLayout!AL23,tblStellplatz[Stellplatz],0)),4),1)="0",RIGHT(INDEX(tblStellplatz[SAP],MATCH(PlanLayout!AL23,tblStellplatz[Stellplatz],0)),5),RIGHT(INDEX(tblStellplatz[SAP],MATCH(PlanLayout!AL23,tblStellplatz[Stellplatz],0)),4))),"?"))</f>
        <v/>
      </c>
      <c r="AM23" s="4">
        <f>IF(PlanLayout!AM23="","",PlanLayout!AM23&amp;CHAR(10)&amp;IFERROR(IF(INDEX(tblStellplatz[SAP],MATCH(PlanLayout!AM23,tblStellplatz[Stellplatz],0))="","leer",IF(LEFT(RIGHT(INDEX(tblStellplatz[SAP],MATCH(PlanLayout!AM23,tblStellplatz[Stellplatz],0)),4),1)="0",RIGHT(INDEX(tblStellplatz[SAP],MATCH(PlanLayout!AM23,tblStellplatz[Stellplatz],0)),5),RIGHT(INDEX(tblStellplatz[SAP],MATCH(PlanLayout!AM23,tblStellplatz[Stellplatz],0)),4))),"?"))</f>
        <v/>
      </c>
      <c r="AN23" s="4">
        <f>IF(PlanLayout!AN23="","",PlanLayout!AN23&amp;CHAR(10)&amp;IFERROR(IF(INDEX(tblStellplatz[SAP],MATCH(PlanLayout!AN23,tblStellplatz[Stellplatz],0))="","leer",IF(LEFT(RIGHT(INDEX(tblStellplatz[SAP],MATCH(PlanLayout!AN23,tblStellplatz[Stellplatz],0)),4),1)="0",RIGHT(INDEX(tblStellplatz[SAP],MATCH(PlanLayout!AN23,tblStellplatz[Stellplatz],0)),5),RIGHT(INDEX(tblStellplatz[SAP],MATCH(PlanLayout!AN23,tblStellplatz[Stellplatz],0)),4))),"?"))</f>
        <v/>
      </c>
      <c r="AO23" s="4">
        <f>IF(PlanLayout!AO23="","",PlanLayout!AO23&amp;CHAR(10)&amp;IFERROR(IF(INDEX(tblStellplatz[SAP],MATCH(PlanLayout!AO23,tblStellplatz[Stellplatz],0))="","leer",IF(LEFT(RIGHT(INDEX(tblStellplatz[SAP],MATCH(PlanLayout!AO23,tblStellplatz[Stellplatz],0)),4),1)="0",RIGHT(INDEX(tblStellplatz[SAP],MATCH(PlanLayout!AO23,tblStellplatz[Stellplatz],0)),5),RIGHT(INDEX(tblStellplatz[SAP],MATCH(PlanLayout!AO23,tblStellplatz[Stellplatz],0)),4))),"?"))</f>
        <v/>
      </c>
    </row>
    <row r="24" ht="30" customHeight="1">
      <c r="B24" s="4">
        <f>IF(PlanLayout!B24="","",PlanLayout!B24&amp;CHAR(10)&amp;IFERROR(IF(INDEX(tblStellplatz[SAP],MATCH(PlanLayout!B24,tblStellplatz[Stellplatz],0))="","leer",IF(LEFT(RIGHT(INDEX(tblStellplatz[SAP],MATCH(PlanLayout!B24,tblStellplatz[Stellplatz],0)),4),1)="0",RIGHT(INDEX(tblStellplatz[SAP],MATCH(PlanLayout!B24,tblStellplatz[Stellplatz],0)),5),RIGHT(INDEX(tblStellplatz[SAP],MATCH(PlanLayout!B24,tblStellplatz[Stellplatz],0)),4))),"?"))</f>
        <v/>
      </c>
      <c r="C24" s="4">
        <f>IF(PlanLayout!C24="","",PlanLayout!C24&amp;CHAR(10)&amp;IFERROR(IF(INDEX(tblStellplatz[SAP],MATCH(PlanLayout!C24,tblStellplatz[Stellplatz],0))="","leer",IF(LEFT(RIGHT(INDEX(tblStellplatz[SAP],MATCH(PlanLayout!C24,tblStellplatz[Stellplatz],0)),4),1)="0",RIGHT(INDEX(tblStellplatz[SAP],MATCH(PlanLayout!C24,tblStellplatz[Stellplatz],0)),5),RIGHT(INDEX(tblStellplatz[SAP],MATCH(PlanLayout!C24,tblStellplatz[Stellplatz],0)),4))),"?"))</f>
        <v/>
      </c>
      <c r="D24" s="4">
        <f>IF(PlanLayout!D24="","",PlanLayout!D24&amp;CHAR(10)&amp;IFERROR(IF(INDEX(tblStellplatz[SAP],MATCH(PlanLayout!D24,tblStellplatz[Stellplatz],0))="","leer",IF(LEFT(RIGHT(INDEX(tblStellplatz[SAP],MATCH(PlanLayout!D24,tblStellplatz[Stellplatz],0)),4),1)="0",RIGHT(INDEX(tblStellplatz[SAP],MATCH(PlanLayout!D24,tblStellplatz[Stellplatz],0)),5),RIGHT(INDEX(tblStellplatz[SAP],MATCH(PlanLayout!D24,tblStellplatz[Stellplatz],0)),4))),"?"))</f>
        <v/>
      </c>
      <c r="E24" s="4">
        <f>IF(PlanLayout!E24="","",PlanLayout!E24&amp;CHAR(10)&amp;IFERROR(IF(INDEX(tblStellplatz[SAP],MATCH(PlanLayout!E24,tblStellplatz[Stellplatz],0))="","leer",IF(LEFT(RIGHT(INDEX(tblStellplatz[SAP],MATCH(PlanLayout!E24,tblStellplatz[Stellplatz],0)),4),1)="0",RIGHT(INDEX(tblStellplatz[SAP],MATCH(PlanLayout!E24,tblStellplatz[Stellplatz],0)),5),RIGHT(INDEX(tblStellplatz[SAP],MATCH(PlanLayout!E24,tblStellplatz[Stellplatz],0)),4))),"?"))</f>
        <v/>
      </c>
      <c r="F24" s="4">
        <f>IF(PlanLayout!F24="","",PlanLayout!F24&amp;CHAR(10)&amp;IFERROR(IF(INDEX(tblStellplatz[SAP],MATCH(PlanLayout!F24,tblStellplatz[Stellplatz],0))="","leer",IF(LEFT(RIGHT(INDEX(tblStellplatz[SAP],MATCH(PlanLayout!F24,tblStellplatz[Stellplatz],0)),4),1)="0",RIGHT(INDEX(tblStellplatz[SAP],MATCH(PlanLayout!F24,tblStellplatz[Stellplatz],0)),5),RIGHT(INDEX(tblStellplatz[SAP],MATCH(PlanLayout!F24,tblStellplatz[Stellplatz],0)),4))),"?"))</f>
        <v/>
      </c>
      <c r="G24" s="4">
        <f>IF(PlanLayout!G24="","",PlanLayout!G24&amp;CHAR(10)&amp;IFERROR(IF(INDEX(tblStellplatz[SAP],MATCH(PlanLayout!G24,tblStellplatz[Stellplatz],0))="","leer",IF(LEFT(RIGHT(INDEX(tblStellplatz[SAP],MATCH(PlanLayout!G24,tblStellplatz[Stellplatz],0)),4),1)="0",RIGHT(INDEX(tblStellplatz[SAP],MATCH(PlanLayout!G24,tblStellplatz[Stellplatz],0)),5),RIGHT(INDEX(tblStellplatz[SAP],MATCH(PlanLayout!G24,tblStellplatz[Stellplatz],0)),4))),"?"))</f>
        <v/>
      </c>
      <c r="H24" s="4">
        <f>IF(PlanLayout!H24="","",PlanLayout!H24&amp;CHAR(10)&amp;IFERROR(IF(INDEX(tblStellplatz[SAP],MATCH(PlanLayout!H24,tblStellplatz[Stellplatz],0))="","leer",IF(LEFT(RIGHT(INDEX(tblStellplatz[SAP],MATCH(PlanLayout!H24,tblStellplatz[Stellplatz],0)),4),1)="0",RIGHT(INDEX(tblStellplatz[SAP],MATCH(PlanLayout!H24,tblStellplatz[Stellplatz],0)),5),RIGHT(INDEX(tblStellplatz[SAP],MATCH(PlanLayout!H24,tblStellplatz[Stellplatz],0)),4))),"?"))</f>
        <v/>
      </c>
      <c r="I24" s="4">
        <f>IF(PlanLayout!I24="","",PlanLayout!I24&amp;CHAR(10)&amp;IFERROR(IF(INDEX(tblStellplatz[SAP],MATCH(PlanLayout!I24,tblStellplatz[Stellplatz],0))="","leer",IF(LEFT(RIGHT(INDEX(tblStellplatz[SAP],MATCH(PlanLayout!I24,tblStellplatz[Stellplatz],0)),4),1)="0",RIGHT(INDEX(tblStellplatz[SAP],MATCH(PlanLayout!I24,tblStellplatz[Stellplatz],0)),5),RIGHT(INDEX(tblStellplatz[SAP],MATCH(PlanLayout!I24,tblStellplatz[Stellplatz],0)),4))),"?"))</f>
        <v/>
      </c>
      <c r="J24" s="4">
        <f>IF(PlanLayout!J24="","",PlanLayout!J24&amp;CHAR(10)&amp;IFERROR(IF(INDEX(tblStellplatz[SAP],MATCH(PlanLayout!J24,tblStellplatz[Stellplatz],0))="","leer",IF(LEFT(RIGHT(INDEX(tblStellplatz[SAP],MATCH(PlanLayout!J24,tblStellplatz[Stellplatz],0)),4),1)="0",RIGHT(INDEX(tblStellplatz[SAP],MATCH(PlanLayout!J24,tblStellplatz[Stellplatz],0)),5),RIGHT(INDEX(tblStellplatz[SAP],MATCH(PlanLayout!J24,tblStellplatz[Stellplatz],0)),4))),"?"))</f>
        <v/>
      </c>
      <c r="K24" s="4">
        <f>IF(PlanLayout!K24="","",PlanLayout!K24&amp;CHAR(10)&amp;IFERROR(IF(INDEX(tblStellplatz[SAP],MATCH(PlanLayout!K24,tblStellplatz[Stellplatz],0))="","leer",IF(LEFT(RIGHT(INDEX(tblStellplatz[SAP],MATCH(PlanLayout!K24,tblStellplatz[Stellplatz],0)),4),1)="0",RIGHT(INDEX(tblStellplatz[SAP],MATCH(PlanLayout!K24,tblStellplatz[Stellplatz],0)),5),RIGHT(INDEX(tblStellplatz[SAP],MATCH(PlanLayout!K24,tblStellplatz[Stellplatz],0)),4))),"?"))</f>
        <v/>
      </c>
      <c r="L24" s="4">
        <f>IF(PlanLayout!L24="","",PlanLayout!L24&amp;CHAR(10)&amp;IFERROR(IF(INDEX(tblStellplatz[SAP],MATCH(PlanLayout!L24,tblStellplatz[Stellplatz],0))="","leer",IF(LEFT(RIGHT(INDEX(tblStellplatz[SAP],MATCH(PlanLayout!L24,tblStellplatz[Stellplatz],0)),4),1)="0",RIGHT(INDEX(tblStellplatz[SAP],MATCH(PlanLayout!L24,tblStellplatz[Stellplatz],0)),5),RIGHT(INDEX(tblStellplatz[SAP],MATCH(PlanLayout!L24,tblStellplatz[Stellplatz],0)),4))),"?"))</f>
        <v/>
      </c>
      <c r="M24" s="4">
        <f>IF(PlanLayout!M24="","",PlanLayout!M24&amp;CHAR(10)&amp;IFERROR(IF(INDEX(tblStellplatz[SAP],MATCH(PlanLayout!M24,tblStellplatz[Stellplatz],0))="","leer",IF(LEFT(RIGHT(INDEX(tblStellplatz[SAP],MATCH(PlanLayout!M24,tblStellplatz[Stellplatz],0)),4),1)="0",RIGHT(INDEX(tblStellplatz[SAP],MATCH(PlanLayout!M24,tblStellplatz[Stellplatz],0)),5),RIGHT(INDEX(tblStellplatz[SAP],MATCH(PlanLayout!M24,tblStellplatz[Stellplatz],0)),4))),"?"))</f>
        <v/>
      </c>
      <c r="N24" s="4">
        <f>IF(PlanLayout!N24="","",PlanLayout!N24&amp;CHAR(10)&amp;IFERROR(IF(INDEX(tblStellplatz[SAP],MATCH(PlanLayout!N24,tblStellplatz[Stellplatz],0))="","leer",IF(LEFT(RIGHT(INDEX(tblStellplatz[SAP],MATCH(PlanLayout!N24,tblStellplatz[Stellplatz],0)),4),1)="0",RIGHT(INDEX(tblStellplatz[SAP],MATCH(PlanLayout!N24,tblStellplatz[Stellplatz],0)),5),RIGHT(INDEX(tblStellplatz[SAP],MATCH(PlanLayout!N24,tblStellplatz[Stellplatz],0)),4))),"?"))</f>
        <v/>
      </c>
      <c r="O24" s="4">
        <f>IF(PlanLayout!O24="","",PlanLayout!O24&amp;CHAR(10)&amp;IFERROR(IF(INDEX(tblStellplatz[SAP],MATCH(PlanLayout!O24,tblStellplatz[Stellplatz],0))="","leer",IF(LEFT(RIGHT(INDEX(tblStellplatz[SAP],MATCH(PlanLayout!O24,tblStellplatz[Stellplatz],0)),4),1)="0",RIGHT(INDEX(tblStellplatz[SAP],MATCH(PlanLayout!O24,tblStellplatz[Stellplatz],0)),5),RIGHT(INDEX(tblStellplatz[SAP],MATCH(PlanLayout!O24,tblStellplatz[Stellplatz],0)),4))),"?"))</f>
        <v/>
      </c>
      <c r="P24" s="4">
        <f>IF(PlanLayout!P24="","",PlanLayout!P24&amp;CHAR(10)&amp;IFERROR(IF(INDEX(tblStellplatz[SAP],MATCH(PlanLayout!P24,tblStellplatz[Stellplatz],0))="","leer",IF(LEFT(RIGHT(INDEX(tblStellplatz[SAP],MATCH(PlanLayout!P24,tblStellplatz[Stellplatz],0)),4),1)="0",RIGHT(INDEX(tblStellplatz[SAP],MATCH(PlanLayout!P24,tblStellplatz[Stellplatz],0)),5),RIGHT(INDEX(tblStellplatz[SAP],MATCH(PlanLayout!P24,tblStellplatz[Stellplatz],0)),4))),"?"))</f>
        <v/>
      </c>
      <c r="Q24" s="4">
        <f>IF(PlanLayout!Q24="","",PlanLayout!Q24&amp;CHAR(10)&amp;IFERROR(IF(INDEX(tblStellplatz[SAP],MATCH(PlanLayout!Q24,tblStellplatz[Stellplatz],0))="","leer",IF(LEFT(RIGHT(INDEX(tblStellplatz[SAP],MATCH(PlanLayout!Q24,tblStellplatz[Stellplatz],0)),4),1)="0",RIGHT(INDEX(tblStellplatz[SAP],MATCH(PlanLayout!Q24,tblStellplatz[Stellplatz],0)),5),RIGHT(INDEX(tblStellplatz[SAP],MATCH(PlanLayout!Q24,tblStellplatz[Stellplatz],0)),4))),"?"))</f>
        <v/>
      </c>
      <c r="R24" s="4">
        <f>IF(PlanLayout!R24="","",PlanLayout!R24&amp;CHAR(10)&amp;IFERROR(IF(INDEX(tblStellplatz[SAP],MATCH(PlanLayout!R24,tblStellplatz[Stellplatz],0))="","leer",IF(LEFT(RIGHT(INDEX(tblStellplatz[SAP],MATCH(PlanLayout!R24,tblStellplatz[Stellplatz],0)),4),1)="0",RIGHT(INDEX(tblStellplatz[SAP],MATCH(PlanLayout!R24,tblStellplatz[Stellplatz],0)),5),RIGHT(INDEX(tblStellplatz[SAP],MATCH(PlanLayout!R24,tblStellplatz[Stellplatz],0)),4))),"?"))</f>
        <v/>
      </c>
      <c r="S24" s="4">
        <f>IF(PlanLayout!S24="","",PlanLayout!S24&amp;CHAR(10)&amp;IFERROR(IF(INDEX(tblStellplatz[SAP],MATCH(PlanLayout!S24,tblStellplatz[Stellplatz],0))="","leer",IF(LEFT(RIGHT(INDEX(tblStellplatz[SAP],MATCH(PlanLayout!S24,tblStellplatz[Stellplatz],0)),4),1)="0",RIGHT(INDEX(tblStellplatz[SAP],MATCH(PlanLayout!S24,tblStellplatz[Stellplatz],0)),5),RIGHT(INDEX(tblStellplatz[SAP],MATCH(PlanLayout!S24,tblStellplatz[Stellplatz],0)),4))),"?"))</f>
        <v/>
      </c>
      <c r="T24" s="4">
        <f>IF(PlanLayout!T24="","",PlanLayout!T24&amp;CHAR(10)&amp;IFERROR(IF(INDEX(tblStellplatz[SAP],MATCH(PlanLayout!T24,tblStellplatz[Stellplatz],0))="","leer",IF(LEFT(RIGHT(INDEX(tblStellplatz[SAP],MATCH(PlanLayout!T24,tblStellplatz[Stellplatz],0)),4),1)="0",RIGHT(INDEX(tblStellplatz[SAP],MATCH(PlanLayout!T24,tblStellplatz[Stellplatz],0)),5),RIGHT(INDEX(tblStellplatz[SAP],MATCH(PlanLayout!T24,tblStellplatz[Stellplatz],0)),4))),"?"))</f>
        <v/>
      </c>
      <c r="U24" s="4">
        <f>IF(PlanLayout!U24="","",PlanLayout!U24&amp;CHAR(10)&amp;IFERROR(IF(INDEX(tblStellplatz[SAP],MATCH(PlanLayout!U24,tblStellplatz[Stellplatz],0))="","leer",IF(LEFT(RIGHT(INDEX(tblStellplatz[SAP],MATCH(PlanLayout!U24,tblStellplatz[Stellplatz],0)),4),1)="0",RIGHT(INDEX(tblStellplatz[SAP],MATCH(PlanLayout!U24,tblStellplatz[Stellplatz],0)),5),RIGHT(INDEX(tblStellplatz[SAP],MATCH(PlanLayout!U24,tblStellplatz[Stellplatz],0)),4))),"?"))</f>
        <v/>
      </c>
      <c r="V24" s="4">
        <f>IF(PlanLayout!V24="","",PlanLayout!V24&amp;CHAR(10)&amp;IFERROR(IF(INDEX(tblStellplatz[SAP],MATCH(PlanLayout!V24,tblStellplatz[Stellplatz],0))="","leer",IF(LEFT(RIGHT(INDEX(tblStellplatz[SAP],MATCH(PlanLayout!V24,tblStellplatz[Stellplatz],0)),4),1)="0",RIGHT(INDEX(tblStellplatz[SAP],MATCH(PlanLayout!V24,tblStellplatz[Stellplatz],0)),5),RIGHT(INDEX(tblStellplatz[SAP],MATCH(PlanLayout!V24,tblStellplatz[Stellplatz],0)),4))),"?"))</f>
        <v/>
      </c>
      <c r="W24" s="4">
        <f>IF(PlanLayout!W24="","",PlanLayout!W24&amp;CHAR(10)&amp;IFERROR(IF(INDEX(tblStellplatz[SAP],MATCH(PlanLayout!W24,tblStellplatz[Stellplatz],0))="","leer",IF(LEFT(RIGHT(INDEX(tblStellplatz[SAP],MATCH(PlanLayout!W24,tblStellplatz[Stellplatz],0)),4),1)="0",RIGHT(INDEX(tblStellplatz[SAP],MATCH(PlanLayout!W24,tblStellplatz[Stellplatz],0)),5),RIGHT(INDEX(tblStellplatz[SAP],MATCH(PlanLayout!W24,tblStellplatz[Stellplatz],0)),4))),"?"))</f>
        <v/>
      </c>
      <c r="X24" s="4">
        <f>IF(PlanLayout!X24="","",PlanLayout!X24&amp;CHAR(10)&amp;IFERROR(IF(INDEX(tblStellplatz[SAP],MATCH(PlanLayout!X24,tblStellplatz[Stellplatz],0))="","leer",IF(LEFT(RIGHT(INDEX(tblStellplatz[SAP],MATCH(PlanLayout!X24,tblStellplatz[Stellplatz],0)),4),1)="0",RIGHT(INDEX(tblStellplatz[SAP],MATCH(PlanLayout!X24,tblStellplatz[Stellplatz],0)),5),RIGHT(INDEX(tblStellplatz[SAP],MATCH(PlanLayout!X24,tblStellplatz[Stellplatz],0)),4))),"?"))</f>
        <v/>
      </c>
      <c r="Y24" s="4">
        <f>IF(PlanLayout!Y24="","",PlanLayout!Y24&amp;CHAR(10)&amp;IFERROR(IF(INDEX(tblStellplatz[SAP],MATCH(PlanLayout!Y24,tblStellplatz[Stellplatz],0))="","leer",IF(LEFT(RIGHT(INDEX(tblStellplatz[SAP],MATCH(PlanLayout!Y24,tblStellplatz[Stellplatz],0)),4),1)="0",RIGHT(INDEX(tblStellplatz[SAP],MATCH(PlanLayout!Y24,tblStellplatz[Stellplatz],0)),5),RIGHT(INDEX(tblStellplatz[SAP],MATCH(PlanLayout!Y24,tblStellplatz[Stellplatz],0)),4))),"?"))</f>
        <v/>
      </c>
      <c r="Z24" s="4">
        <f>IF(PlanLayout!Z24="","",PlanLayout!Z24&amp;CHAR(10)&amp;IFERROR(IF(INDEX(tblStellplatz[SAP],MATCH(PlanLayout!Z24,tblStellplatz[Stellplatz],0))="","leer",IF(LEFT(RIGHT(INDEX(tblStellplatz[SAP],MATCH(PlanLayout!Z24,tblStellplatz[Stellplatz],0)),4),1)="0",RIGHT(INDEX(tblStellplatz[SAP],MATCH(PlanLayout!Z24,tblStellplatz[Stellplatz],0)),5),RIGHT(INDEX(tblStellplatz[SAP],MATCH(PlanLayout!Z24,tblStellplatz[Stellplatz],0)),4))),"?"))</f>
        <v/>
      </c>
      <c r="AA24" s="4">
        <f>IF(PlanLayout!AA24="","",PlanLayout!AA24&amp;CHAR(10)&amp;IFERROR(IF(INDEX(tblStellplatz[SAP],MATCH(PlanLayout!AA24,tblStellplatz[Stellplatz],0))="","leer",IF(LEFT(RIGHT(INDEX(tblStellplatz[SAP],MATCH(PlanLayout!AA24,tblStellplatz[Stellplatz],0)),4),1)="0",RIGHT(INDEX(tblStellplatz[SAP],MATCH(PlanLayout!AA24,tblStellplatz[Stellplatz],0)),5),RIGHT(INDEX(tblStellplatz[SAP],MATCH(PlanLayout!AA24,tblStellplatz[Stellplatz],0)),4))),"?"))</f>
        <v/>
      </c>
      <c r="AB24" s="4">
        <f>IF(PlanLayout!AB24="","",PlanLayout!AB24&amp;CHAR(10)&amp;IFERROR(IF(INDEX(tblStellplatz[SAP],MATCH(PlanLayout!AB24,tblStellplatz[Stellplatz],0))="","leer",IF(LEFT(RIGHT(INDEX(tblStellplatz[SAP],MATCH(PlanLayout!AB24,tblStellplatz[Stellplatz],0)),4),1)="0",RIGHT(INDEX(tblStellplatz[SAP],MATCH(PlanLayout!AB24,tblStellplatz[Stellplatz],0)),5),RIGHT(INDEX(tblStellplatz[SAP],MATCH(PlanLayout!AB24,tblStellplatz[Stellplatz],0)),4))),"?"))</f>
        <v/>
      </c>
      <c r="AC24" s="4">
        <f>IF(PlanLayout!AC24="","",PlanLayout!AC24&amp;CHAR(10)&amp;IFERROR(IF(INDEX(tblStellplatz[SAP],MATCH(PlanLayout!AC24,tblStellplatz[Stellplatz],0))="","leer",IF(LEFT(RIGHT(INDEX(tblStellplatz[SAP],MATCH(PlanLayout!AC24,tblStellplatz[Stellplatz],0)),4),1)="0",RIGHT(INDEX(tblStellplatz[SAP],MATCH(PlanLayout!AC24,tblStellplatz[Stellplatz],0)),5),RIGHT(INDEX(tblStellplatz[SAP],MATCH(PlanLayout!AC24,tblStellplatz[Stellplatz],0)),4))),"?"))</f>
        <v/>
      </c>
      <c r="AD24" s="4">
        <f>IF(PlanLayout!AD24="","",PlanLayout!AD24&amp;CHAR(10)&amp;IFERROR(IF(INDEX(tblStellplatz[SAP],MATCH(PlanLayout!AD24,tblStellplatz[Stellplatz],0))="","leer",IF(LEFT(RIGHT(INDEX(tblStellplatz[SAP],MATCH(PlanLayout!AD24,tblStellplatz[Stellplatz],0)),4),1)="0",RIGHT(INDEX(tblStellplatz[SAP],MATCH(PlanLayout!AD24,tblStellplatz[Stellplatz],0)),5),RIGHT(INDEX(tblStellplatz[SAP],MATCH(PlanLayout!AD24,tblStellplatz[Stellplatz],0)),4))),"?"))</f>
        <v/>
      </c>
      <c r="AE24" s="4">
        <f>IF(PlanLayout!AE24="","",PlanLayout!AE24&amp;CHAR(10)&amp;IFERROR(IF(INDEX(tblStellplatz[SAP],MATCH(PlanLayout!AE24,tblStellplatz[Stellplatz],0))="","leer",IF(LEFT(RIGHT(INDEX(tblStellplatz[SAP],MATCH(PlanLayout!AE24,tblStellplatz[Stellplatz],0)),4),1)="0",RIGHT(INDEX(tblStellplatz[SAP],MATCH(PlanLayout!AE24,tblStellplatz[Stellplatz],0)),5),RIGHT(INDEX(tblStellplatz[SAP],MATCH(PlanLayout!AE24,tblStellplatz[Stellplatz],0)),4))),"?"))</f>
        <v/>
      </c>
      <c r="AF24" s="4">
        <f>IF(PlanLayout!AF24="","",PlanLayout!AF24&amp;CHAR(10)&amp;IFERROR(IF(INDEX(tblStellplatz[SAP],MATCH(PlanLayout!AF24,tblStellplatz[Stellplatz],0))="","leer",IF(LEFT(RIGHT(INDEX(tblStellplatz[SAP],MATCH(PlanLayout!AF24,tblStellplatz[Stellplatz],0)),4),1)="0",RIGHT(INDEX(tblStellplatz[SAP],MATCH(PlanLayout!AF24,tblStellplatz[Stellplatz],0)),5),RIGHT(INDEX(tblStellplatz[SAP],MATCH(PlanLayout!AF24,tblStellplatz[Stellplatz],0)),4))),"?"))</f>
        <v/>
      </c>
      <c r="AG24" s="4">
        <f>IF(PlanLayout!AG24="","",PlanLayout!AG24&amp;CHAR(10)&amp;IFERROR(IF(INDEX(tblStellplatz[SAP],MATCH(PlanLayout!AG24,tblStellplatz[Stellplatz],0))="","leer",IF(LEFT(RIGHT(INDEX(tblStellplatz[SAP],MATCH(PlanLayout!AG24,tblStellplatz[Stellplatz],0)),4),1)="0",RIGHT(INDEX(tblStellplatz[SAP],MATCH(PlanLayout!AG24,tblStellplatz[Stellplatz],0)),5),RIGHT(INDEX(tblStellplatz[SAP],MATCH(PlanLayout!AG24,tblStellplatz[Stellplatz],0)),4))),"?"))</f>
        <v/>
      </c>
      <c r="AH24" s="4">
        <f>IF(PlanLayout!AH24="","",PlanLayout!AH24&amp;CHAR(10)&amp;IFERROR(IF(INDEX(tblStellplatz[SAP],MATCH(PlanLayout!AH24,tblStellplatz[Stellplatz],0))="","leer",IF(LEFT(RIGHT(INDEX(tblStellplatz[SAP],MATCH(PlanLayout!AH24,tblStellplatz[Stellplatz],0)),4),1)="0",RIGHT(INDEX(tblStellplatz[SAP],MATCH(PlanLayout!AH24,tblStellplatz[Stellplatz],0)),5),RIGHT(INDEX(tblStellplatz[SAP],MATCH(PlanLayout!AH24,tblStellplatz[Stellplatz],0)),4))),"?"))</f>
        <v/>
      </c>
      <c r="AI24" s="4">
        <f>IF(PlanLayout!AI24="","",PlanLayout!AI24&amp;CHAR(10)&amp;IFERROR(IF(INDEX(tblStellplatz[SAP],MATCH(PlanLayout!AI24,tblStellplatz[Stellplatz],0))="","leer",IF(LEFT(RIGHT(INDEX(tblStellplatz[SAP],MATCH(PlanLayout!AI24,tblStellplatz[Stellplatz],0)),4),1)="0",RIGHT(INDEX(tblStellplatz[SAP],MATCH(PlanLayout!AI24,tblStellplatz[Stellplatz],0)),5),RIGHT(INDEX(tblStellplatz[SAP],MATCH(PlanLayout!AI24,tblStellplatz[Stellplatz],0)),4))),"?"))</f>
        <v/>
      </c>
      <c r="AJ24" s="4">
        <f>IF(PlanLayout!AJ24="","",PlanLayout!AJ24&amp;CHAR(10)&amp;IFERROR(IF(INDEX(tblStellplatz[SAP],MATCH(PlanLayout!AJ24,tblStellplatz[Stellplatz],0))="","leer",IF(LEFT(RIGHT(INDEX(tblStellplatz[SAP],MATCH(PlanLayout!AJ24,tblStellplatz[Stellplatz],0)),4),1)="0",RIGHT(INDEX(tblStellplatz[SAP],MATCH(PlanLayout!AJ24,tblStellplatz[Stellplatz],0)),5),RIGHT(INDEX(tblStellplatz[SAP],MATCH(PlanLayout!AJ24,tblStellplatz[Stellplatz],0)),4))),"?"))</f>
        <v/>
      </c>
      <c r="AK24" s="4">
        <f>IF(PlanLayout!AK24="","",PlanLayout!AK24&amp;CHAR(10)&amp;IFERROR(IF(INDEX(tblStellplatz[SAP],MATCH(PlanLayout!AK24,tblStellplatz[Stellplatz],0))="","leer",IF(LEFT(RIGHT(INDEX(tblStellplatz[SAP],MATCH(PlanLayout!AK24,tblStellplatz[Stellplatz],0)),4),1)="0",RIGHT(INDEX(tblStellplatz[SAP],MATCH(PlanLayout!AK24,tblStellplatz[Stellplatz],0)),5),RIGHT(INDEX(tblStellplatz[SAP],MATCH(PlanLayout!AK24,tblStellplatz[Stellplatz],0)),4))),"?"))</f>
        <v/>
      </c>
      <c r="AL24" s="4">
        <f>IF(PlanLayout!AL24="","",PlanLayout!AL24&amp;CHAR(10)&amp;IFERROR(IF(INDEX(tblStellplatz[SAP],MATCH(PlanLayout!AL24,tblStellplatz[Stellplatz],0))="","leer",IF(LEFT(RIGHT(INDEX(tblStellplatz[SAP],MATCH(PlanLayout!AL24,tblStellplatz[Stellplatz],0)),4),1)="0",RIGHT(INDEX(tblStellplatz[SAP],MATCH(PlanLayout!AL24,tblStellplatz[Stellplatz],0)),5),RIGHT(INDEX(tblStellplatz[SAP],MATCH(PlanLayout!AL24,tblStellplatz[Stellplatz],0)),4))),"?"))</f>
        <v/>
      </c>
      <c r="AM24" s="4">
        <f>IF(PlanLayout!AM24="","",PlanLayout!AM24&amp;CHAR(10)&amp;IFERROR(IF(INDEX(tblStellplatz[SAP],MATCH(PlanLayout!AM24,tblStellplatz[Stellplatz],0))="","leer",IF(LEFT(RIGHT(INDEX(tblStellplatz[SAP],MATCH(PlanLayout!AM24,tblStellplatz[Stellplatz],0)),4),1)="0",RIGHT(INDEX(tblStellplatz[SAP],MATCH(PlanLayout!AM24,tblStellplatz[Stellplatz],0)),5),RIGHT(INDEX(tblStellplatz[SAP],MATCH(PlanLayout!AM24,tblStellplatz[Stellplatz],0)),4))),"?"))</f>
        <v/>
      </c>
      <c r="AN24" s="4">
        <f>IF(PlanLayout!AN24="","",PlanLayout!AN24&amp;CHAR(10)&amp;IFERROR(IF(INDEX(tblStellplatz[SAP],MATCH(PlanLayout!AN24,tblStellplatz[Stellplatz],0))="","leer",IF(LEFT(RIGHT(INDEX(tblStellplatz[SAP],MATCH(PlanLayout!AN24,tblStellplatz[Stellplatz],0)),4),1)="0",RIGHT(INDEX(tblStellplatz[SAP],MATCH(PlanLayout!AN24,tblStellplatz[Stellplatz],0)),5),RIGHT(INDEX(tblStellplatz[SAP],MATCH(PlanLayout!AN24,tblStellplatz[Stellplatz],0)),4))),"?"))</f>
        <v/>
      </c>
      <c r="AO24" s="4">
        <f>IF(PlanLayout!AO24="","",PlanLayout!AO24&amp;CHAR(10)&amp;IFERROR(IF(INDEX(tblStellplatz[SAP],MATCH(PlanLayout!AO24,tblStellplatz[Stellplatz],0))="","leer",IF(LEFT(RIGHT(INDEX(tblStellplatz[SAP],MATCH(PlanLayout!AO24,tblStellplatz[Stellplatz],0)),4),1)="0",RIGHT(INDEX(tblStellplatz[SAP],MATCH(PlanLayout!AO24,tblStellplatz[Stellplatz],0)),5),RIGHT(INDEX(tblStellplatz[SAP],MATCH(PlanLayout!AO24,tblStellplatz[Stellplatz],0)),4))),"?"))</f>
        <v/>
      </c>
    </row>
    <row r="25" ht="30" customHeight="1">
      <c r="B25" s="4">
        <f>IF(PlanLayout!B25="","",PlanLayout!B25&amp;CHAR(10)&amp;IFERROR(IF(INDEX(tblStellplatz[SAP],MATCH(PlanLayout!B25,tblStellplatz[Stellplatz],0))="","leer",IF(LEFT(RIGHT(INDEX(tblStellplatz[SAP],MATCH(PlanLayout!B25,tblStellplatz[Stellplatz],0)),4),1)="0",RIGHT(INDEX(tblStellplatz[SAP],MATCH(PlanLayout!B25,tblStellplatz[Stellplatz],0)),5),RIGHT(INDEX(tblStellplatz[SAP],MATCH(PlanLayout!B25,tblStellplatz[Stellplatz],0)),4))),"?"))</f>
        <v/>
      </c>
      <c r="C25" s="4">
        <f>IF(PlanLayout!C25="","",PlanLayout!C25&amp;CHAR(10)&amp;IFERROR(IF(INDEX(tblStellplatz[SAP],MATCH(PlanLayout!C25,tblStellplatz[Stellplatz],0))="","leer",IF(LEFT(RIGHT(INDEX(tblStellplatz[SAP],MATCH(PlanLayout!C25,tblStellplatz[Stellplatz],0)),4),1)="0",RIGHT(INDEX(tblStellplatz[SAP],MATCH(PlanLayout!C25,tblStellplatz[Stellplatz],0)),5),RIGHT(INDEX(tblStellplatz[SAP],MATCH(PlanLayout!C25,tblStellplatz[Stellplatz],0)),4))),"?"))</f>
        <v/>
      </c>
      <c r="D25" s="4">
        <f>IF(PlanLayout!D25="","",PlanLayout!D25&amp;CHAR(10)&amp;IFERROR(IF(INDEX(tblStellplatz[SAP],MATCH(PlanLayout!D25,tblStellplatz[Stellplatz],0))="","leer",IF(LEFT(RIGHT(INDEX(tblStellplatz[SAP],MATCH(PlanLayout!D25,tblStellplatz[Stellplatz],0)),4),1)="0",RIGHT(INDEX(tblStellplatz[SAP],MATCH(PlanLayout!D25,tblStellplatz[Stellplatz],0)),5),RIGHT(INDEX(tblStellplatz[SAP],MATCH(PlanLayout!D25,tblStellplatz[Stellplatz],0)),4))),"?"))</f>
        <v/>
      </c>
      <c r="E25" s="4">
        <f>IF(PlanLayout!E25="","",PlanLayout!E25&amp;CHAR(10)&amp;IFERROR(IF(INDEX(tblStellplatz[SAP],MATCH(PlanLayout!E25,tblStellplatz[Stellplatz],0))="","leer",IF(LEFT(RIGHT(INDEX(tblStellplatz[SAP],MATCH(PlanLayout!E25,tblStellplatz[Stellplatz],0)),4),1)="0",RIGHT(INDEX(tblStellplatz[SAP],MATCH(PlanLayout!E25,tblStellplatz[Stellplatz],0)),5),RIGHT(INDEX(tblStellplatz[SAP],MATCH(PlanLayout!E25,tblStellplatz[Stellplatz],0)),4))),"?"))</f>
        <v/>
      </c>
      <c r="F25" s="4">
        <f>IF(PlanLayout!F25="","",PlanLayout!F25&amp;CHAR(10)&amp;IFERROR(IF(INDEX(tblStellplatz[SAP],MATCH(PlanLayout!F25,tblStellplatz[Stellplatz],0))="","leer",IF(LEFT(RIGHT(INDEX(tblStellplatz[SAP],MATCH(PlanLayout!F25,tblStellplatz[Stellplatz],0)),4),1)="0",RIGHT(INDEX(tblStellplatz[SAP],MATCH(PlanLayout!F25,tblStellplatz[Stellplatz],0)),5),RIGHT(INDEX(tblStellplatz[SAP],MATCH(PlanLayout!F25,tblStellplatz[Stellplatz],0)),4))),"?"))</f>
        <v/>
      </c>
      <c r="G25" s="4">
        <f>IF(PlanLayout!G25="","",PlanLayout!G25&amp;CHAR(10)&amp;IFERROR(IF(INDEX(tblStellplatz[SAP],MATCH(PlanLayout!G25,tblStellplatz[Stellplatz],0))="","leer",IF(LEFT(RIGHT(INDEX(tblStellplatz[SAP],MATCH(PlanLayout!G25,tblStellplatz[Stellplatz],0)),4),1)="0",RIGHT(INDEX(tblStellplatz[SAP],MATCH(PlanLayout!G25,tblStellplatz[Stellplatz],0)),5),RIGHT(INDEX(tblStellplatz[SAP],MATCH(PlanLayout!G25,tblStellplatz[Stellplatz],0)),4))),"?"))</f>
        <v/>
      </c>
      <c r="H25" s="4">
        <f>IF(PlanLayout!H25="","",PlanLayout!H25&amp;CHAR(10)&amp;IFERROR(IF(INDEX(tblStellplatz[SAP],MATCH(PlanLayout!H25,tblStellplatz[Stellplatz],0))="","leer",IF(LEFT(RIGHT(INDEX(tblStellplatz[SAP],MATCH(PlanLayout!H25,tblStellplatz[Stellplatz],0)),4),1)="0",RIGHT(INDEX(tblStellplatz[SAP],MATCH(PlanLayout!H25,tblStellplatz[Stellplatz],0)),5),RIGHT(INDEX(tblStellplatz[SAP],MATCH(PlanLayout!H25,tblStellplatz[Stellplatz],0)),4))),"?"))</f>
        <v/>
      </c>
      <c r="I25" s="4">
        <f>IF(PlanLayout!I25="","",PlanLayout!I25&amp;CHAR(10)&amp;IFERROR(IF(INDEX(tblStellplatz[SAP],MATCH(PlanLayout!I25,tblStellplatz[Stellplatz],0))="","leer",IF(LEFT(RIGHT(INDEX(tblStellplatz[SAP],MATCH(PlanLayout!I25,tblStellplatz[Stellplatz],0)),4),1)="0",RIGHT(INDEX(tblStellplatz[SAP],MATCH(PlanLayout!I25,tblStellplatz[Stellplatz],0)),5),RIGHT(INDEX(tblStellplatz[SAP],MATCH(PlanLayout!I25,tblStellplatz[Stellplatz],0)),4))),"?"))</f>
        <v/>
      </c>
      <c r="J25" s="4">
        <f>IF(PlanLayout!J25="","",PlanLayout!J25&amp;CHAR(10)&amp;IFERROR(IF(INDEX(tblStellplatz[SAP],MATCH(PlanLayout!J25,tblStellplatz[Stellplatz],0))="","leer",IF(LEFT(RIGHT(INDEX(tblStellplatz[SAP],MATCH(PlanLayout!J25,tblStellplatz[Stellplatz],0)),4),1)="0",RIGHT(INDEX(tblStellplatz[SAP],MATCH(PlanLayout!J25,tblStellplatz[Stellplatz],0)),5),RIGHT(INDEX(tblStellplatz[SAP],MATCH(PlanLayout!J25,tblStellplatz[Stellplatz],0)),4))),"?"))</f>
        <v/>
      </c>
      <c r="K25" s="4">
        <f>IF(PlanLayout!K25="","",PlanLayout!K25&amp;CHAR(10)&amp;IFERROR(IF(INDEX(tblStellplatz[SAP],MATCH(PlanLayout!K25,tblStellplatz[Stellplatz],0))="","leer",IF(LEFT(RIGHT(INDEX(tblStellplatz[SAP],MATCH(PlanLayout!K25,tblStellplatz[Stellplatz],0)),4),1)="0",RIGHT(INDEX(tblStellplatz[SAP],MATCH(PlanLayout!K25,tblStellplatz[Stellplatz],0)),5),RIGHT(INDEX(tblStellplatz[SAP],MATCH(PlanLayout!K25,tblStellplatz[Stellplatz],0)),4))),"?"))</f>
        <v/>
      </c>
      <c r="L25" s="4">
        <f>IF(PlanLayout!L25="","",PlanLayout!L25&amp;CHAR(10)&amp;IFERROR(IF(INDEX(tblStellplatz[SAP],MATCH(PlanLayout!L25,tblStellplatz[Stellplatz],0))="","leer",IF(LEFT(RIGHT(INDEX(tblStellplatz[SAP],MATCH(PlanLayout!L25,tblStellplatz[Stellplatz],0)),4),1)="0",RIGHT(INDEX(tblStellplatz[SAP],MATCH(PlanLayout!L25,tblStellplatz[Stellplatz],0)),5),RIGHT(INDEX(tblStellplatz[SAP],MATCH(PlanLayout!L25,tblStellplatz[Stellplatz],0)),4))),"?"))</f>
        <v/>
      </c>
      <c r="M25" s="4">
        <f>IF(PlanLayout!M25="","",PlanLayout!M25&amp;CHAR(10)&amp;IFERROR(IF(INDEX(tblStellplatz[SAP],MATCH(PlanLayout!M25,tblStellplatz[Stellplatz],0))="","leer",IF(LEFT(RIGHT(INDEX(tblStellplatz[SAP],MATCH(PlanLayout!M25,tblStellplatz[Stellplatz],0)),4),1)="0",RIGHT(INDEX(tblStellplatz[SAP],MATCH(PlanLayout!M25,tblStellplatz[Stellplatz],0)),5),RIGHT(INDEX(tblStellplatz[SAP],MATCH(PlanLayout!M25,tblStellplatz[Stellplatz],0)),4))),"?"))</f>
        <v/>
      </c>
      <c r="N25" s="4">
        <f>IF(PlanLayout!N25="","",PlanLayout!N25&amp;CHAR(10)&amp;IFERROR(IF(INDEX(tblStellplatz[SAP],MATCH(PlanLayout!N25,tblStellplatz[Stellplatz],0))="","leer",IF(LEFT(RIGHT(INDEX(tblStellplatz[SAP],MATCH(PlanLayout!N25,tblStellplatz[Stellplatz],0)),4),1)="0",RIGHT(INDEX(tblStellplatz[SAP],MATCH(PlanLayout!N25,tblStellplatz[Stellplatz],0)),5),RIGHT(INDEX(tblStellplatz[SAP],MATCH(PlanLayout!N25,tblStellplatz[Stellplatz],0)),4))),"?"))</f>
        <v/>
      </c>
      <c r="O25" s="4">
        <f>IF(PlanLayout!O25="","",PlanLayout!O25&amp;CHAR(10)&amp;IFERROR(IF(INDEX(tblStellplatz[SAP],MATCH(PlanLayout!O25,tblStellplatz[Stellplatz],0))="","leer",IF(LEFT(RIGHT(INDEX(tblStellplatz[SAP],MATCH(PlanLayout!O25,tblStellplatz[Stellplatz],0)),4),1)="0",RIGHT(INDEX(tblStellplatz[SAP],MATCH(PlanLayout!O25,tblStellplatz[Stellplatz],0)),5),RIGHT(INDEX(tblStellplatz[SAP],MATCH(PlanLayout!O25,tblStellplatz[Stellplatz],0)),4))),"?"))</f>
        <v/>
      </c>
      <c r="P25" s="4">
        <f>IF(PlanLayout!P25="","",PlanLayout!P25&amp;CHAR(10)&amp;IFERROR(IF(INDEX(tblStellplatz[SAP],MATCH(PlanLayout!P25,tblStellplatz[Stellplatz],0))="","leer",IF(LEFT(RIGHT(INDEX(tblStellplatz[SAP],MATCH(PlanLayout!P25,tblStellplatz[Stellplatz],0)),4),1)="0",RIGHT(INDEX(tblStellplatz[SAP],MATCH(PlanLayout!P25,tblStellplatz[Stellplatz],0)),5),RIGHT(INDEX(tblStellplatz[SAP],MATCH(PlanLayout!P25,tblStellplatz[Stellplatz],0)),4))),"?"))</f>
        <v/>
      </c>
      <c r="Q25" s="4">
        <f>IF(PlanLayout!Q25="","",PlanLayout!Q25&amp;CHAR(10)&amp;IFERROR(IF(INDEX(tblStellplatz[SAP],MATCH(PlanLayout!Q25,tblStellplatz[Stellplatz],0))="","leer",IF(LEFT(RIGHT(INDEX(tblStellplatz[SAP],MATCH(PlanLayout!Q25,tblStellplatz[Stellplatz],0)),4),1)="0",RIGHT(INDEX(tblStellplatz[SAP],MATCH(PlanLayout!Q25,tblStellplatz[Stellplatz],0)),5),RIGHT(INDEX(tblStellplatz[SAP],MATCH(PlanLayout!Q25,tblStellplatz[Stellplatz],0)),4))),"?"))</f>
        <v/>
      </c>
      <c r="R25" s="4">
        <f>IF(PlanLayout!R25="","",PlanLayout!R25&amp;CHAR(10)&amp;IFERROR(IF(INDEX(tblStellplatz[SAP],MATCH(PlanLayout!R25,tblStellplatz[Stellplatz],0))="","leer",IF(LEFT(RIGHT(INDEX(tblStellplatz[SAP],MATCH(PlanLayout!R25,tblStellplatz[Stellplatz],0)),4),1)="0",RIGHT(INDEX(tblStellplatz[SAP],MATCH(PlanLayout!R25,tblStellplatz[Stellplatz],0)),5),RIGHT(INDEX(tblStellplatz[SAP],MATCH(PlanLayout!R25,tblStellplatz[Stellplatz],0)),4))),"?"))</f>
        <v/>
      </c>
      <c r="S25" s="4">
        <f>IF(PlanLayout!S25="","",PlanLayout!S25&amp;CHAR(10)&amp;IFERROR(IF(INDEX(tblStellplatz[SAP],MATCH(PlanLayout!S25,tblStellplatz[Stellplatz],0))="","leer",IF(LEFT(RIGHT(INDEX(tblStellplatz[SAP],MATCH(PlanLayout!S25,tblStellplatz[Stellplatz],0)),4),1)="0",RIGHT(INDEX(tblStellplatz[SAP],MATCH(PlanLayout!S25,tblStellplatz[Stellplatz],0)),5),RIGHT(INDEX(tblStellplatz[SAP],MATCH(PlanLayout!S25,tblStellplatz[Stellplatz],0)),4))),"?"))</f>
        <v/>
      </c>
      <c r="T25" s="4">
        <f>IF(PlanLayout!T25="","",PlanLayout!T25&amp;CHAR(10)&amp;IFERROR(IF(INDEX(tblStellplatz[SAP],MATCH(PlanLayout!T25,tblStellplatz[Stellplatz],0))="","leer",IF(LEFT(RIGHT(INDEX(tblStellplatz[SAP],MATCH(PlanLayout!T25,tblStellplatz[Stellplatz],0)),4),1)="0",RIGHT(INDEX(tblStellplatz[SAP],MATCH(PlanLayout!T25,tblStellplatz[Stellplatz],0)),5),RIGHT(INDEX(tblStellplatz[SAP],MATCH(PlanLayout!T25,tblStellplatz[Stellplatz],0)),4))),"?"))</f>
        <v/>
      </c>
      <c r="U25" s="4">
        <f>IF(PlanLayout!U25="","",PlanLayout!U25&amp;CHAR(10)&amp;IFERROR(IF(INDEX(tblStellplatz[SAP],MATCH(PlanLayout!U25,tblStellplatz[Stellplatz],0))="","leer",IF(LEFT(RIGHT(INDEX(tblStellplatz[SAP],MATCH(PlanLayout!U25,tblStellplatz[Stellplatz],0)),4),1)="0",RIGHT(INDEX(tblStellplatz[SAP],MATCH(PlanLayout!U25,tblStellplatz[Stellplatz],0)),5),RIGHT(INDEX(tblStellplatz[SAP],MATCH(PlanLayout!U25,tblStellplatz[Stellplatz],0)),4))),"?"))</f>
        <v/>
      </c>
      <c r="V25" s="4">
        <f>IF(PlanLayout!V25="","",PlanLayout!V25&amp;CHAR(10)&amp;IFERROR(IF(INDEX(tblStellplatz[SAP],MATCH(PlanLayout!V25,tblStellplatz[Stellplatz],0))="","leer",IF(LEFT(RIGHT(INDEX(tblStellplatz[SAP],MATCH(PlanLayout!V25,tblStellplatz[Stellplatz],0)),4),1)="0",RIGHT(INDEX(tblStellplatz[SAP],MATCH(PlanLayout!V25,tblStellplatz[Stellplatz],0)),5),RIGHT(INDEX(tblStellplatz[SAP],MATCH(PlanLayout!V25,tblStellplatz[Stellplatz],0)),4))),"?"))</f>
        <v/>
      </c>
      <c r="W25" s="4">
        <f>IF(PlanLayout!W25="","",PlanLayout!W25&amp;CHAR(10)&amp;IFERROR(IF(INDEX(tblStellplatz[SAP],MATCH(PlanLayout!W25,tblStellplatz[Stellplatz],0))="","leer",IF(LEFT(RIGHT(INDEX(tblStellplatz[SAP],MATCH(PlanLayout!W25,tblStellplatz[Stellplatz],0)),4),1)="0",RIGHT(INDEX(tblStellplatz[SAP],MATCH(PlanLayout!W25,tblStellplatz[Stellplatz],0)),5),RIGHT(INDEX(tblStellplatz[SAP],MATCH(PlanLayout!W25,tblStellplatz[Stellplatz],0)),4))),"?"))</f>
        <v/>
      </c>
      <c r="X25" s="4">
        <f>IF(PlanLayout!X25="","",PlanLayout!X25&amp;CHAR(10)&amp;IFERROR(IF(INDEX(tblStellplatz[SAP],MATCH(PlanLayout!X25,tblStellplatz[Stellplatz],0))="","leer",IF(LEFT(RIGHT(INDEX(tblStellplatz[SAP],MATCH(PlanLayout!X25,tblStellplatz[Stellplatz],0)),4),1)="0",RIGHT(INDEX(tblStellplatz[SAP],MATCH(PlanLayout!X25,tblStellplatz[Stellplatz],0)),5),RIGHT(INDEX(tblStellplatz[SAP],MATCH(PlanLayout!X25,tblStellplatz[Stellplatz],0)),4))),"?"))</f>
        <v/>
      </c>
      <c r="Y25" s="4">
        <f>IF(PlanLayout!Y25="","",PlanLayout!Y25&amp;CHAR(10)&amp;IFERROR(IF(INDEX(tblStellplatz[SAP],MATCH(PlanLayout!Y25,tblStellplatz[Stellplatz],0))="","leer",IF(LEFT(RIGHT(INDEX(tblStellplatz[SAP],MATCH(PlanLayout!Y25,tblStellplatz[Stellplatz],0)),4),1)="0",RIGHT(INDEX(tblStellplatz[SAP],MATCH(PlanLayout!Y25,tblStellplatz[Stellplatz],0)),5),RIGHT(INDEX(tblStellplatz[SAP],MATCH(PlanLayout!Y25,tblStellplatz[Stellplatz],0)),4))),"?"))</f>
        <v/>
      </c>
      <c r="Z25" s="4">
        <f>IF(PlanLayout!Z25="","",PlanLayout!Z25&amp;CHAR(10)&amp;IFERROR(IF(INDEX(tblStellplatz[SAP],MATCH(PlanLayout!Z25,tblStellplatz[Stellplatz],0))="","leer",IF(LEFT(RIGHT(INDEX(tblStellplatz[SAP],MATCH(PlanLayout!Z25,tblStellplatz[Stellplatz],0)),4),1)="0",RIGHT(INDEX(tblStellplatz[SAP],MATCH(PlanLayout!Z25,tblStellplatz[Stellplatz],0)),5),RIGHT(INDEX(tblStellplatz[SAP],MATCH(PlanLayout!Z25,tblStellplatz[Stellplatz],0)),4))),"?"))</f>
        <v/>
      </c>
      <c r="AA25" s="4">
        <f>IF(PlanLayout!AA25="","",PlanLayout!AA25&amp;CHAR(10)&amp;IFERROR(IF(INDEX(tblStellplatz[SAP],MATCH(PlanLayout!AA25,tblStellplatz[Stellplatz],0))="","leer",IF(LEFT(RIGHT(INDEX(tblStellplatz[SAP],MATCH(PlanLayout!AA25,tblStellplatz[Stellplatz],0)),4),1)="0",RIGHT(INDEX(tblStellplatz[SAP],MATCH(PlanLayout!AA25,tblStellplatz[Stellplatz],0)),5),RIGHT(INDEX(tblStellplatz[SAP],MATCH(PlanLayout!AA25,tblStellplatz[Stellplatz],0)),4))),"?"))</f>
        <v/>
      </c>
      <c r="AB25" s="4">
        <f>IF(PlanLayout!AB25="","",PlanLayout!AB25&amp;CHAR(10)&amp;IFERROR(IF(INDEX(tblStellplatz[SAP],MATCH(PlanLayout!AB25,tblStellplatz[Stellplatz],0))="","leer",IF(LEFT(RIGHT(INDEX(tblStellplatz[SAP],MATCH(PlanLayout!AB25,tblStellplatz[Stellplatz],0)),4),1)="0",RIGHT(INDEX(tblStellplatz[SAP],MATCH(PlanLayout!AB25,tblStellplatz[Stellplatz],0)),5),RIGHT(INDEX(tblStellplatz[SAP],MATCH(PlanLayout!AB25,tblStellplatz[Stellplatz],0)),4))),"?"))</f>
        <v/>
      </c>
      <c r="AC25" s="4">
        <f>IF(PlanLayout!AC25="","",PlanLayout!AC25&amp;CHAR(10)&amp;IFERROR(IF(INDEX(tblStellplatz[SAP],MATCH(PlanLayout!AC25,tblStellplatz[Stellplatz],0))="","leer",IF(LEFT(RIGHT(INDEX(tblStellplatz[SAP],MATCH(PlanLayout!AC25,tblStellplatz[Stellplatz],0)),4),1)="0",RIGHT(INDEX(tblStellplatz[SAP],MATCH(PlanLayout!AC25,tblStellplatz[Stellplatz],0)),5),RIGHT(INDEX(tblStellplatz[SAP],MATCH(PlanLayout!AC25,tblStellplatz[Stellplatz],0)),4))),"?"))</f>
        <v/>
      </c>
      <c r="AD25" s="4">
        <f>IF(PlanLayout!AD25="","",PlanLayout!AD25&amp;CHAR(10)&amp;IFERROR(IF(INDEX(tblStellplatz[SAP],MATCH(PlanLayout!AD25,tblStellplatz[Stellplatz],0))="","leer",IF(LEFT(RIGHT(INDEX(tblStellplatz[SAP],MATCH(PlanLayout!AD25,tblStellplatz[Stellplatz],0)),4),1)="0",RIGHT(INDEX(tblStellplatz[SAP],MATCH(PlanLayout!AD25,tblStellplatz[Stellplatz],0)),5),RIGHT(INDEX(tblStellplatz[SAP],MATCH(PlanLayout!AD25,tblStellplatz[Stellplatz],0)),4))),"?"))</f>
        <v/>
      </c>
      <c r="AE25" s="4">
        <f>IF(PlanLayout!AE25="","",PlanLayout!AE25&amp;CHAR(10)&amp;IFERROR(IF(INDEX(tblStellplatz[SAP],MATCH(PlanLayout!AE25,tblStellplatz[Stellplatz],0))="","leer",IF(LEFT(RIGHT(INDEX(tblStellplatz[SAP],MATCH(PlanLayout!AE25,tblStellplatz[Stellplatz],0)),4),1)="0",RIGHT(INDEX(tblStellplatz[SAP],MATCH(PlanLayout!AE25,tblStellplatz[Stellplatz],0)),5),RIGHT(INDEX(tblStellplatz[SAP],MATCH(PlanLayout!AE25,tblStellplatz[Stellplatz],0)),4))),"?"))</f>
        <v/>
      </c>
      <c r="AF25" s="4">
        <f>IF(PlanLayout!AF25="","",PlanLayout!AF25&amp;CHAR(10)&amp;IFERROR(IF(INDEX(tblStellplatz[SAP],MATCH(PlanLayout!AF25,tblStellplatz[Stellplatz],0))="","leer",IF(LEFT(RIGHT(INDEX(tblStellplatz[SAP],MATCH(PlanLayout!AF25,tblStellplatz[Stellplatz],0)),4),1)="0",RIGHT(INDEX(tblStellplatz[SAP],MATCH(PlanLayout!AF25,tblStellplatz[Stellplatz],0)),5),RIGHT(INDEX(tblStellplatz[SAP],MATCH(PlanLayout!AF25,tblStellplatz[Stellplatz],0)),4))),"?"))</f>
        <v/>
      </c>
      <c r="AG25" s="4">
        <f>IF(PlanLayout!AG25="","",PlanLayout!AG25&amp;CHAR(10)&amp;IFERROR(IF(INDEX(tblStellplatz[SAP],MATCH(PlanLayout!AG25,tblStellplatz[Stellplatz],0))="","leer",IF(LEFT(RIGHT(INDEX(tblStellplatz[SAP],MATCH(PlanLayout!AG25,tblStellplatz[Stellplatz],0)),4),1)="0",RIGHT(INDEX(tblStellplatz[SAP],MATCH(PlanLayout!AG25,tblStellplatz[Stellplatz],0)),5),RIGHT(INDEX(tblStellplatz[SAP],MATCH(PlanLayout!AG25,tblStellplatz[Stellplatz],0)),4))),"?"))</f>
        <v/>
      </c>
      <c r="AH25" s="4">
        <f>IF(PlanLayout!AH25="","",PlanLayout!AH25&amp;CHAR(10)&amp;IFERROR(IF(INDEX(tblStellplatz[SAP],MATCH(PlanLayout!AH25,tblStellplatz[Stellplatz],0))="","leer",IF(LEFT(RIGHT(INDEX(tblStellplatz[SAP],MATCH(PlanLayout!AH25,tblStellplatz[Stellplatz],0)),4),1)="0",RIGHT(INDEX(tblStellplatz[SAP],MATCH(PlanLayout!AH25,tblStellplatz[Stellplatz],0)),5),RIGHT(INDEX(tblStellplatz[SAP],MATCH(PlanLayout!AH25,tblStellplatz[Stellplatz],0)),4))),"?"))</f>
        <v/>
      </c>
      <c r="AI25" s="4">
        <f>IF(PlanLayout!AI25="","",PlanLayout!AI25&amp;CHAR(10)&amp;IFERROR(IF(INDEX(tblStellplatz[SAP],MATCH(PlanLayout!AI25,tblStellplatz[Stellplatz],0))="","leer",IF(LEFT(RIGHT(INDEX(tblStellplatz[SAP],MATCH(PlanLayout!AI25,tblStellplatz[Stellplatz],0)),4),1)="0",RIGHT(INDEX(tblStellplatz[SAP],MATCH(PlanLayout!AI25,tblStellplatz[Stellplatz],0)),5),RIGHT(INDEX(tblStellplatz[SAP],MATCH(PlanLayout!AI25,tblStellplatz[Stellplatz],0)),4))),"?"))</f>
        <v/>
      </c>
      <c r="AJ25" s="4">
        <f>IF(PlanLayout!AJ25="","",PlanLayout!AJ25&amp;CHAR(10)&amp;IFERROR(IF(INDEX(tblStellplatz[SAP],MATCH(PlanLayout!AJ25,tblStellplatz[Stellplatz],0))="","leer",IF(LEFT(RIGHT(INDEX(tblStellplatz[SAP],MATCH(PlanLayout!AJ25,tblStellplatz[Stellplatz],0)),4),1)="0",RIGHT(INDEX(tblStellplatz[SAP],MATCH(PlanLayout!AJ25,tblStellplatz[Stellplatz],0)),5),RIGHT(INDEX(tblStellplatz[SAP],MATCH(PlanLayout!AJ25,tblStellplatz[Stellplatz],0)),4))),"?"))</f>
        <v/>
      </c>
      <c r="AK25" s="4">
        <f>IF(PlanLayout!AK25="","",PlanLayout!AK25&amp;CHAR(10)&amp;IFERROR(IF(INDEX(tblStellplatz[SAP],MATCH(PlanLayout!AK25,tblStellplatz[Stellplatz],0))="","leer",IF(LEFT(RIGHT(INDEX(tblStellplatz[SAP],MATCH(PlanLayout!AK25,tblStellplatz[Stellplatz],0)),4),1)="0",RIGHT(INDEX(tblStellplatz[SAP],MATCH(PlanLayout!AK25,tblStellplatz[Stellplatz],0)),5),RIGHT(INDEX(tblStellplatz[SAP],MATCH(PlanLayout!AK25,tblStellplatz[Stellplatz],0)),4))),"?"))</f>
        <v/>
      </c>
      <c r="AL25" s="4">
        <f>IF(PlanLayout!AL25="","",PlanLayout!AL25&amp;CHAR(10)&amp;IFERROR(IF(INDEX(tblStellplatz[SAP],MATCH(PlanLayout!AL25,tblStellplatz[Stellplatz],0))="","leer",IF(LEFT(RIGHT(INDEX(tblStellplatz[SAP],MATCH(PlanLayout!AL25,tblStellplatz[Stellplatz],0)),4),1)="0",RIGHT(INDEX(tblStellplatz[SAP],MATCH(PlanLayout!AL25,tblStellplatz[Stellplatz],0)),5),RIGHT(INDEX(tblStellplatz[SAP],MATCH(PlanLayout!AL25,tblStellplatz[Stellplatz],0)),4))),"?"))</f>
        <v/>
      </c>
      <c r="AM25" s="4">
        <f>IF(PlanLayout!AM25="","",PlanLayout!AM25&amp;CHAR(10)&amp;IFERROR(IF(INDEX(tblStellplatz[SAP],MATCH(PlanLayout!AM25,tblStellplatz[Stellplatz],0))="","leer",IF(LEFT(RIGHT(INDEX(tblStellplatz[SAP],MATCH(PlanLayout!AM25,tblStellplatz[Stellplatz],0)),4),1)="0",RIGHT(INDEX(tblStellplatz[SAP],MATCH(PlanLayout!AM25,tblStellplatz[Stellplatz],0)),5),RIGHT(INDEX(tblStellplatz[SAP],MATCH(PlanLayout!AM25,tblStellplatz[Stellplatz],0)),4))),"?"))</f>
        <v/>
      </c>
      <c r="AN25" s="4">
        <f>IF(PlanLayout!AN25="","",PlanLayout!AN25&amp;CHAR(10)&amp;IFERROR(IF(INDEX(tblStellplatz[SAP],MATCH(PlanLayout!AN25,tblStellplatz[Stellplatz],0))="","leer",IF(LEFT(RIGHT(INDEX(tblStellplatz[SAP],MATCH(PlanLayout!AN25,tblStellplatz[Stellplatz],0)),4),1)="0",RIGHT(INDEX(tblStellplatz[SAP],MATCH(PlanLayout!AN25,tblStellplatz[Stellplatz],0)),5),RIGHT(INDEX(tblStellplatz[SAP],MATCH(PlanLayout!AN25,tblStellplatz[Stellplatz],0)),4))),"?"))</f>
        <v/>
      </c>
      <c r="AO25" s="4">
        <f>IF(PlanLayout!AO25="","",PlanLayout!AO25&amp;CHAR(10)&amp;IFERROR(IF(INDEX(tblStellplatz[SAP],MATCH(PlanLayout!AO25,tblStellplatz[Stellplatz],0))="","leer",IF(LEFT(RIGHT(INDEX(tblStellplatz[SAP],MATCH(PlanLayout!AO25,tblStellplatz[Stellplatz],0)),4),1)="0",RIGHT(INDEX(tblStellplatz[SAP],MATCH(PlanLayout!AO25,tblStellplatz[Stellplatz],0)),5),RIGHT(INDEX(tblStellplatz[SAP],MATCH(PlanLayout!AO25,tblStellplatz[Stellplatz],0)),4))),"?"))</f>
        <v/>
      </c>
    </row>
    <row r="26" ht="30" customHeight="1">
      <c r="B26" s="4">
        <f>IF(PlanLayout!B26="","",PlanLayout!B26&amp;CHAR(10)&amp;IFERROR(IF(INDEX(tblStellplatz[SAP],MATCH(PlanLayout!B26,tblStellplatz[Stellplatz],0))="","leer",IF(LEFT(RIGHT(INDEX(tblStellplatz[SAP],MATCH(PlanLayout!B26,tblStellplatz[Stellplatz],0)),4),1)="0",RIGHT(INDEX(tblStellplatz[SAP],MATCH(PlanLayout!B26,tblStellplatz[Stellplatz],0)),5),RIGHT(INDEX(tblStellplatz[SAP],MATCH(PlanLayout!B26,tblStellplatz[Stellplatz],0)),4))),"?"))</f>
        <v/>
      </c>
      <c r="C26" s="4">
        <f>IF(PlanLayout!C26="","",PlanLayout!C26&amp;CHAR(10)&amp;IFERROR(IF(INDEX(tblStellplatz[SAP],MATCH(PlanLayout!C26,tblStellplatz[Stellplatz],0))="","leer",IF(LEFT(RIGHT(INDEX(tblStellplatz[SAP],MATCH(PlanLayout!C26,tblStellplatz[Stellplatz],0)),4),1)="0",RIGHT(INDEX(tblStellplatz[SAP],MATCH(PlanLayout!C26,tblStellplatz[Stellplatz],0)),5),RIGHT(INDEX(tblStellplatz[SAP],MATCH(PlanLayout!C26,tblStellplatz[Stellplatz],0)),4))),"?"))</f>
        <v/>
      </c>
      <c r="D26" s="4">
        <f>IF(PlanLayout!D26="","",PlanLayout!D26&amp;CHAR(10)&amp;IFERROR(IF(INDEX(tblStellplatz[SAP],MATCH(PlanLayout!D26,tblStellplatz[Stellplatz],0))="","leer",IF(LEFT(RIGHT(INDEX(tblStellplatz[SAP],MATCH(PlanLayout!D26,tblStellplatz[Stellplatz],0)),4),1)="0",RIGHT(INDEX(tblStellplatz[SAP],MATCH(PlanLayout!D26,tblStellplatz[Stellplatz],0)),5),RIGHT(INDEX(tblStellplatz[SAP],MATCH(PlanLayout!D26,tblStellplatz[Stellplatz],0)),4))),"?"))</f>
        <v/>
      </c>
      <c r="E26" s="4">
        <f>IF(PlanLayout!E26="","",PlanLayout!E26&amp;CHAR(10)&amp;IFERROR(IF(INDEX(tblStellplatz[SAP],MATCH(PlanLayout!E26,tblStellplatz[Stellplatz],0))="","leer",IF(LEFT(RIGHT(INDEX(tblStellplatz[SAP],MATCH(PlanLayout!E26,tblStellplatz[Stellplatz],0)),4),1)="0",RIGHT(INDEX(tblStellplatz[SAP],MATCH(PlanLayout!E26,tblStellplatz[Stellplatz],0)),5),RIGHT(INDEX(tblStellplatz[SAP],MATCH(PlanLayout!E26,tblStellplatz[Stellplatz],0)),4))),"?"))</f>
        <v/>
      </c>
      <c r="F26" s="4">
        <f>IF(PlanLayout!F26="","",PlanLayout!F26&amp;CHAR(10)&amp;IFERROR(IF(INDEX(tblStellplatz[SAP],MATCH(PlanLayout!F26,tblStellplatz[Stellplatz],0))="","leer",IF(LEFT(RIGHT(INDEX(tblStellplatz[SAP],MATCH(PlanLayout!F26,tblStellplatz[Stellplatz],0)),4),1)="0",RIGHT(INDEX(tblStellplatz[SAP],MATCH(PlanLayout!F26,tblStellplatz[Stellplatz],0)),5),RIGHT(INDEX(tblStellplatz[SAP],MATCH(PlanLayout!F26,tblStellplatz[Stellplatz],0)),4))),"?"))</f>
        <v/>
      </c>
      <c r="G26" s="4">
        <f>IF(PlanLayout!G26="","",PlanLayout!G26&amp;CHAR(10)&amp;IFERROR(IF(INDEX(tblStellplatz[SAP],MATCH(PlanLayout!G26,tblStellplatz[Stellplatz],0))="","leer",IF(LEFT(RIGHT(INDEX(tblStellplatz[SAP],MATCH(PlanLayout!G26,tblStellplatz[Stellplatz],0)),4),1)="0",RIGHT(INDEX(tblStellplatz[SAP],MATCH(PlanLayout!G26,tblStellplatz[Stellplatz],0)),5),RIGHT(INDEX(tblStellplatz[SAP],MATCH(PlanLayout!G26,tblStellplatz[Stellplatz],0)),4))),"?"))</f>
        <v/>
      </c>
      <c r="H26" s="4">
        <f>IF(PlanLayout!H26="","",PlanLayout!H26&amp;CHAR(10)&amp;IFERROR(IF(INDEX(tblStellplatz[SAP],MATCH(PlanLayout!H26,tblStellplatz[Stellplatz],0))="","leer",IF(LEFT(RIGHT(INDEX(tblStellplatz[SAP],MATCH(PlanLayout!H26,tblStellplatz[Stellplatz],0)),4),1)="0",RIGHT(INDEX(tblStellplatz[SAP],MATCH(PlanLayout!H26,tblStellplatz[Stellplatz],0)),5),RIGHT(INDEX(tblStellplatz[SAP],MATCH(PlanLayout!H26,tblStellplatz[Stellplatz],0)),4))),"?"))</f>
        <v/>
      </c>
      <c r="I26" s="4">
        <f>IF(PlanLayout!I26="","",PlanLayout!I26&amp;CHAR(10)&amp;IFERROR(IF(INDEX(tblStellplatz[SAP],MATCH(PlanLayout!I26,tblStellplatz[Stellplatz],0))="","leer",IF(LEFT(RIGHT(INDEX(tblStellplatz[SAP],MATCH(PlanLayout!I26,tblStellplatz[Stellplatz],0)),4),1)="0",RIGHT(INDEX(tblStellplatz[SAP],MATCH(PlanLayout!I26,tblStellplatz[Stellplatz],0)),5),RIGHT(INDEX(tblStellplatz[SAP],MATCH(PlanLayout!I26,tblStellplatz[Stellplatz],0)),4))),"?"))</f>
        <v/>
      </c>
      <c r="J26" s="4">
        <f>IF(PlanLayout!J26="","",PlanLayout!J26&amp;CHAR(10)&amp;IFERROR(IF(INDEX(tblStellplatz[SAP],MATCH(PlanLayout!J26,tblStellplatz[Stellplatz],0))="","leer",IF(LEFT(RIGHT(INDEX(tblStellplatz[SAP],MATCH(PlanLayout!J26,tblStellplatz[Stellplatz],0)),4),1)="0",RIGHT(INDEX(tblStellplatz[SAP],MATCH(PlanLayout!J26,tblStellplatz[Stellplatz],0)),5),RIGHT(INDEX(tblStellplatz[SAP],MATCH(PlanLayout!J26,tblStellplatz[Stellplatz],0)),4))),"?"))</f>
        <v/>
      </c>
      <c r="K26" s="4">
        <f>IF(PlanLayout!K26="","",PlanLayout!K26&amp;CHAR(10)&amp;IFERROR(IF(INDEX(tblStellplatz[SAP],MATCH(PlanLayout!K26,tblStellplatz[Stellplatz],0))="","leer",IF(LEFT(RIGHT(INDEX(tblStellplatz[SAP],MATCH(PlanLayout!K26,tblStellplatz[Stellplatz],0)),4),1)="0",RIGHT(INDEX(tblStellplatz[SAP],MATCH(PlanLayout!K26,tblStellplatz[Stellplatz],0)),5),RIGHT(INDEX(tblStellplatz[SAP],MATCH(PlanLayout!K26,tblStellplatz[Stellplatz],0)),4))),"?"))</f>
        <v/>
      </c>
      <c r="L26" s="4">
        <f>IF(PlanLayout!L26="","",PlanLayout!L26&amp;CHAR(10)&amp;IFERROR(IF(INDEX(tblStellplatz[SAP],MATCH(PlanLayout!L26,tblStellplatz[Stellplatz],0))="","leer",IF(LEFT(RIGHT(INDEX(tblStellplatz[SAP],MATCH(PlanLayout!L26,tblStellplatz[Stellplatz],0)),4),1)="0",RIGHT(INDEX(tblStellplatz[SAP],MATCH(PlanLayout!L26,tblStellplatz[Stellplatz],0)),5),RIGHT(INDEX(tblStellplatz[SAP],MATCH(PlanLayout!L26,tblStellplatz[Stellplatz],0)),4))),"?"))</f>
        <v/>
      </c>
      <c r="M26" s="4">
        <f>IF(PlanLayout!M26="","",PlanLayout!M26&amp;CHAR(10)&amp;IFERROR(IF(INDEX(tblStellplatz[SAP],MATCH(PlanLayout!M26,tblStellplatz[Stellplatz],0))="","leer",IF(LEFT(RIGHT(INDEX(tblStellplatz[SAP],MATCH(PlanLayout!M26,tblStellplatz[Stellplatz],0)),4),1)="0",RIGHT(INDEX(tblStellplatz[SAP],MATCH(PlanLayout!M26,tblStellplatz[Stellplatz],0)),5),RIGHT(INDEX(tblStellplatz[SAP],MATCH(PlanLayout!M26,tblStellplatz[Stellplatz],0)),4))),"?"))</f>
        <v/>
      </c>
      <c r="N26" s="4">
        <f>IF(PlanLayout!N26="","",PlanLayout!N26&amp;CHAR(10)&amp;IFERROR(IF(INDEX(tblStellplatz[SAP],MATCH(PlanLayout!N26,tblStellplatz[Stellplatz],0))="","leer",IF(LEFT(RIGHT(INDEX(tblStellplatz[SAP],MATCH(PlanLayout!N26,tblStellplatz[Stellplatz],0)),4),1)="0",RIGHT(INDEX(tblStellplatz[SAP],MATCH(PlanLayout!N26,tblStellplatz[Stellplatz],0)),5),RIGHT(INDEX(tblStellplatz[SAP],MATCH(PlanLayout!N26,tblStellplatz[Stellplatz],0)),4))),"?"))</f>
        <v/>
      </c>
      <c r="O26" s="4">
        <f>IF(PlanLayout!O26="","",PlanLayout!O26&amp;CHAR(10)&amp;IFERROR(IF(INDEX(tblStellplatz[SAP],MATCH(PlanLayout!O26,tblStellplatz[Stellplatz],0))="","leer",IF(LEFT(RIGHT(INDEX(tblStellplatz[SAP],MATCH(PlanLayout!O26,tblStellplatz[Stellplatz],0)),4),1)="0",RIGHT(INDEX(tblStellplatz[SAP],MATCH(PlanLayout!O26,tblStellplatz[Stellplatz],0)),5),RIGHT(INDEX(tblStellplatz[SAP],MATCH(PlanLayout!O26,tblStellplatz[Stellplatz],0)),4))),"?"))</f>
        <v/>
      </c>
      <c r="P26" s="4">
        <f>IF(PlanLayout!P26="","",PlanLayout!P26&amp;CHAR(10)&amp;IFERROR(IF(INDEX(tblStellplatz[SAP],MATCH(PlanLayout!P26,tblStellplatz[Stellplatz],0))="","leer",IF(LEFT(RIGHT(INDEX(tblStellplatz[SAP],MATCH(PlanLayout!P26,tblStellplatz[Stellplatz],0)),4),1)="0",RIGHT(INDEX(tblStellplatz[SAP],MATCH(PlanLayout!P26,tblStellplatz[Stellplatz],0)),5),RIGHT(INDEX(tblStellplatz[SAP],MATCH(PlanLayout!P26,tblStellplatz[Stellplatz],0)),4))),"?"))</f>
        <v/>
      </c>
      <c r="Q26" s="4">
        <f>IF(PlanLayout!Q26="","",PlanLayout!Q26&amp;CHAR(10)&amp;IFERROR(IF(INDEX(tblStellplatz[SAP],MATCH(PlanLayout!Q26,tblStellplatz[Stellplatz],0))="","leer",IF(LEFT(RIGHT(INDEX(tblStellplatz[SAP],MATCH(PlanLayout!Q26,tblStellplatz[Stellplatz],0)),4),1)="0",RIGHT(INDEX(tblStellplatz[SAP],MATCH(PlanLayout!Q26,tblStellplatz[Stellplatz],0)),5),RIGHT(INDEX(tblStellplatz[SAP],MATCH(PlanLayout!Q26,tblStellplatz[Stellplatz],0)),4))),"?"))</f>
        <v/>
      </c>
      <c r="R26" s="4">
        <f>IF(PlanLayout!R26="","",PlanLayout!R26&amp;CHAR(10)&amp;IFERROR(IF(INDEX(tblStellplatz[SAP],MATCH(PlanLayout!R26,tblStellplatz[Stellplatz],0))="","leer",IF(LEFT(RIGHT(INDEX(tblStellplatz[SAP],MATCH(PlanLayout!R26,tblStellplatz[Stellplatz],0)),4),1)="0",RIGHT(INDEX(tblStellplatz[SAP],MATCH(PlanLayout!R26,tblStellplatz[Stellplatz],0)),5),RIGHT(INDEX(tblStellplatz[SAP],MATCH(PlanLayout!R26,tblStellplatz[Stellplatz],0)),4))),"?"))</f>
        <v/>
      </c>
      <c r="S26" s="4">
        <f>IF(PlanLayout!S26="","",PlanLayout!S26&amp;CHAR(10)&amp;IFERROR(IF(INDEX(tblStellplatz[SAP],MATCH(PlanLayout!S26,tblStellplatz[Stellplatz],0))="","leer",IF(LEFT(RIGHT(INDEX(tblStellplatz[SAP],MATCH(PlanLayout!S26,tblStellplatz[Stellplatz],0)),4),1)="0",RIGHT(INDEX(tblStellplatz[SAP],MATCH(PlanLayout!S26,tblStellplatz[Stellplatz],0)),5),RIGHT(INDEX(tblStellplatz[SAP],MATCH(PlanLayout!S26,tblStellplatz[Stellplatz],0)),4))),"?"))</f>
        <v/>
      </c>
      <c r="T26" s="4">
        <f>IF(PlanLayout!T26="","",PlanLayout!T26&amp;CHAR(10)&amp;IFERROR(IF(INDEX(tblStellplatz[SAP],MATCH(PlanLayout!T26,tblStellplatz[Stellplatz],0))="","leer",IF(LEFT(RIGHT(INDEX(tblStellplatz[SAP],MATCH(PlanLayout!T26,tblStellplatz[Stellplatz],0)),4),1)="0",RIGHT(INDEX(tblStellplatz[SAP],MATCH(PlanLayout!T26,tblStellplatz[Stellplatz],0)),5),RIGHT(INDEX(tblStellplatz[SAP],MATCH(PlanLayout!T26,tblStellplatz[Stellplatz],0)),4))),"?"))</f>
        <v/>
      </c>
      <c r="U26" s="4">
        <f>IF(PlanLayout!U26="","",PlanLayout!U26&amp;CHAR(10)&amp;IFERROR(IF(INDEX(tblStellplatz[SAP],MATCH(PlanLayout!U26,tblStellplatz[Stellplatz],0))="","leer",IF(LEFT(RIGHT(INDEX(tblStellplatz[SAP],MATCH(PlanLayout!U26,tblStellplatz[Stellplatz],0)),4),1)="0",RIGHT(INDEX(tblStellplatz[SAP],MATCH(PlanLayout!U26,tblStellplatz[Stellplatz],0)),5),RIGHT(INDEX(tblStellplatz[SAP],MATCH(PlanLayout!U26,tblStellplatz[Stellplatz],0)),4))),"?"))</f>
        <v/>
      </c>
      <c r="V26" s="4">
        <f>IF(PlanLayout!V26="","",PlanLayout!V26&amp;CHAR(10)&amp;IFERROR(IF(INDEX(tblStellplatz[SAP],MATCH(PlanLayout!V26,tblStellplatz[Stellplatz],0))="","leer",IF(LEFT(RIGHT(INDEX(tblStellplatz[SAP],MATCH(PlanLayout!V26,tblStellplatz[Stellplatz],0)),4),1)="0",RIGHT(INDEX(tblStellplatz[SAP],MATCH(PlanLayout!V26,tblStellplatz[Stellplatz],0)),5),RIGHT(INDEX(tblStellplatz[SAP],MATCH(PlanLayout!V26,tblStellplatz[Stellplatz],0)),4))),"?"))</f>
        <v/>
      </c>
      <c r="W26" s="4">
        <f>IF(PlanLayout!W26="","",PlanLayout!W26&amp;CHAR(10)&amp;IFERROR(IF(INDEX(tblStellplatz[SAP],MATCH(PlanLayout!W26,tblStellplatz[Stellplatz],0))="","leer",IF(LEFT(RIGHT(INDEX(tblStellplatz[SAP],MATCH(PlanLayout!W26,tblStellplatz[Stellplatz],0)),4),1)="0",RIGHT(INDEX(tblStellplatz[SAP],MATCH(PlanLayout!W26,tblStellplatz[Stellplatz],0)),5),RIGHT(INDEX(tblStellplatz[SAP],MATCH(PlanLayout!W26,tblStellplatz[Stellplatz],0)),4))),"?"))</f>
        <v/>
      </c>
      <c r="X26" s="4">
        <f>IF(PlanLayout!X26="","",PlanLayout!X26&amp;CHAR(10)&amp;IFERROR(IF(INDEX(tblStellplatz[SAP],MATCH(PlanLayout!X26,tblStellplatz[Stellplatz],0))="","leer",IF(LEFT(RIGHT(INDEX(tblStellplatz[SAP],MATCH(PlanLayout!X26,tblStellplatz[Stellplatz],0)),4),1)="0",RIGHT(INDEX(tblStellplatz[SAP],MATCH(PlanLayout!X26,tblStellplatz[Stellplatz],0)),5),RIGHT(INDEX(tblStellplatz[SAP],MATCH(PlanLayout!X26,tblStellplatz[Stellplatz],0)),4))),"?"))</f>
        <v/>
      </c>
      <c r="Y26" s="4">
        <f>IF(PlanLayout!Y26="","",PlanLayout!Y26&amp;CHAR(10)&amp;IFERROR(IF(INDEX(tblStellplatz[SAP],MATCH(PlanLayout!Y26,tblStellplatz[Stellplatz],0))="","leer",IF(LEFT(RIGHT(INDEX(tblStellplatz[SAP],MATCH(PlanLayout!Y26,tblStellplatz[Stellplatz],0)),4),1)="0",RIGHT(INDEX(tblStellplatz[SAP],MATCH(PlanLayout!Y26,tblStellplatz[Stellplatz],0)),5),RIGHT(INDEX(tblStellplatz[SAP],MATCH(PlanLayout!Y26,tblStellplatz[Stellplatz],0)),4))),"?"))</f>
        <v/>
      </c>
      <c r="Z26" s="4">
        <f>IF(PlanLayout!Z26="","",PlanLayout!Z26&amp;CHAR(10)&amp;IFERROR(IF(INDEX(tblStellplatz[SAP],MATCH(PlanLayout!Z26,tblStellplatz[Stellplatz],0))="","leer",IF(LEFT(RIGHT(INDEX(tblStellplatz[SAP],MATCH(PlanLayout!Z26,tblStellplatz[Stellplatz],0)),4),1)="0",RIGHT(INDEX(tblStellplatz[SAP],MATCH(PlanLayout!Z26,tblStellplatz[Stellplatz],0)),5),RIGHT(INDEX(tblStellplatz[SAP],MATCH(PlanLayout!Z26,tblStellplatz[Stellplatz],0)),4))),"?"))</f>
        <v/>
      </c>
      <c r="AA26" s="4">
        <f>IF(PlanLayout!AA26="","",PlanLayout!AA26&amp;CHAR(10)&amp;IFERROR(IF(INDEX(tblStellplatz[SAP],MATCH(PlanLayout!AA26,tblStellplatz[Stellplatz],0))="","leer",IF(LEFT(RIGHT(INDEX(tblStellplatz[SAP],MATCH(PlanLayout!AA26,tblStellplatz[Stellplatz],0)),4),1)="0",RIGHT(INDEX(tblStellplatz[SAP],MATCH(PlanLayout!AA26,tblStellplatz[Stellplatz],0)),5),RIGHT(INDEX(tblStellplatz[SAP],MATCH(PlanLayout!AA26,tblStellplatz[Stellplatz],0)),4))),"?"))</f>
        <v/>
      </c>
      <c r="AB26" s="4">
        <f>IF(PlanLayout!AB26="","",PlanLayout!AB26&amp;CHAR(10)&amp;IFERROR(IF(INDEX(tblStellplatz[SAP],MATCH(PlanLayout!AB26,tblStellplatz[Stellplatz],0))="","leer",IF(LEFT(RIGHT(INDEX(tblStellplatz[SAP],MATCH(PlanLayout!AB26,tblStellplatz[Stellplatz],0)),4),1)="0",RIGHT(INDEX(tblStellplatz[SAP],MATCH(PlanLayout!AB26,tblStellplatz[Stellplatz],0)),5),RIGHT(INDEX(tblStellplatz[SAP],MATCH(PlanLayout!AB26,tblStellplatz[Stellplatz],0)),4))),"?"))</f>
        <v/>
      </c>
      <c r="AC26" s="4">
        <f>IF(PlanLayout!AC26="","",PlanLayout!AC26&amp;CHAR(10)&amp;IFERROR(IF(INDEX(tblStellplatz[SAP],MATCH(PlanLayout!AC26,tblStellplatz[Stellplatz],0))="","leer",IF(LEFT(RIGHT(INDEX(tblStellplatz[SAP],MATCH(PlanLayout!AC26,tblStellplatz[Stellplatz],0)),4),1)="0",RIGHT(INDEX(tblStellplatz[SAP],MATCH(PlanLayout!AC26,tblStellplatz[Stellplatz],0)),5),RIGHT(INDEX(tblStellplatz[SAP],MATCH(PlanLayout!AC26,tblStellplatz[Stellplatz],0)),4))),"?"))</f>
        <v/>
      </c>
      <c r="AD26" s="4">
        <f>IF(PlanLayout!AD26="","",PlanLayout!AD26&amp;CHAR(10)&amp;IFERROR(IF(INDEX(tblStellplatz[SAP],MATCH(PlanLayout!AD26,tblStellplatz[Stellplatz],0))="","leer",IF(LEFT(RIGHT(INDEX(tblStellplatz[SAP],MATCH(PlanLayout!AD26,tblStellplatz[Stellplatz],0)),4),1)="0",RIGHT(INDEX(tblStellplatz[SAP],MATCH(PlanLayout!AD26,tblStellplatz[Stellplatz],0)),5),RIGHT(INDEX(tblStellplatz[SAP],MATCH(PlanLayout!AD26,tblStellplatz[Stellplatz],0)),4))),"?"))</f>
        <v/>
      </c>
      <c r="AE26" s="4">
        <f>IF(PlanLayout!AE26="","",PlanLayout!AE26&amp;CHAR(10)&amp;IFERROR(IF(INDEX(tblStellplatz[SAP],MATCH(PlanLayout!AE26,tblStellplatz[Stellplatz],0))="","leer",IF(LEFT(RIGHT(INDEX(tblStellplatz[SAP],MATCH(PlanLayout!AE26,tblStellplatz[Stellplatz],0)),4),1)="0",RIGHT(INDEX(tblStellplatz[SAP],MATCH(PlanLayout!AE26,tblStellplatz[Stellplatz],0)),5),RIGHT(INDEX(tblStellplatz[SAP],MATCH(PlanLayout!AE26,tblStellplatz[Stellplatz],0)),4))),"?"))</f>
        <v/>
      </c>
      <c r="AF26" s="4">
        <f>IF(PlanLayout!AF26="","",PlanLayout!AF26&amp;CHAR(10)&amp;IFERROR(IF(INDEX(tblStellplatz[SAP],MATCH(PlanLayout!AF26,tblStellplatz[Stellplatz],0))="","leer",IF(LEFT(RIGHT(INDEX(tblStellplatz[SAP],MATCH(PlanLayout!AF26,tblStellplatz[Stellplatz],0)),4),1)="0",RIGHT(INDEX(tblStellplatz[SAP],MATCH(PlanLayout!AF26,tblStellplatz[Stellplatz],0)),5),RIGHT(INDEX(tblStellplatz[SAP],MATCH(PlanLayout!AF26,tblStellplatz[Stellplatz],0)),4))),"?"))</f>
        <v/>
      </c>
      <c r="AG26" s="4">
        <f>IF(PlanLayout!AG26="","",PlanLayout!AG26&amp;CHAR(10)&amp;IFERROR(IF(INDEX(tblStellplatz[SAP],MATCH(PlanLayout!AG26,tblStellplatz[Stellplatz],0))="","leer",IF(LEFT(RIGHT(INDEX(tblStellplatz[SAP],MATCH(PlanLayout!AG26,tblStellplatz[Stellplatz],0)),4),1)="0",RIGHT(INDEX(tblStellplatz[SAP],MATCH(PlanLayout!AG26,tblStellplatz[Stellplatz],0)),5),RIGHT(INDEX(tblStellplatz[SAP],MATCH(PlanLayout!AG26,tblStellplatz[Stellplatz],0)),4))),"?"))</f>
        <v/>
      </c>
      <c r="AH26" s="4">
        <f>IF(PlanLayout!AH26="","",PlanLayout!AH26&amp;CHAR(10)&amp;IFERROR(IF(INDEX(tblStellplatz[SAP],MATCH(PlanLayout!AH26,tblStellplatz[Stellplatz],0))="","leer",IF(LEFT(RIGHT(INDEX(tblStellplatz[SAP],MATCH(PlanLayout!AH26,tblStellplatz[Stellplatz],0)),4),1)="0",RIGHT(INDEX(tblStellplatz[SAP],MATCH(PlanLayout!AH26,tblStellplatz[Stellplatz],0)),5),RIGHT(INDEX(tblStellplatz[SAP],MATCH(PlanLayout!AH26,tblStellplatz[Stellplatz],0)),4))),"?"))</f>
        <v/>
      </c>
      <c r="AI26" s="4">
        <f>IF(PlanLayout!AI26="","",PlanLayout!AI26&amp;CHAR(10)&amp;IFERROR(IF(INDEX(tblStellplatz[SAP],MATCH(PlanLayout!AI26,tblStellplatz[Stellplatz],0))="","leer",IF(LEFT(RIGHT(INDEX(tblStellplatz[SAP],MATCH(PlanLayout!AI26,tblStellplatz[Stellplatz],0)),4),1)="0",RIGHT(INDEX(tblStellplatz[SAP],MATCH(PlanLayout!AI26,tblStellplatz[Stellplatz],0)),5),RIGHT(INDEX(tblStellplatz[SAP],MATCH(PlanLayout!AI26,tblStellplatz[Stellplatz],0)),4))),"?"))</f>
        <v/>
      </c>
      <c r="AJ26" s="4">
        <f>IF(PlanLayout!AJ26="","",PlanLayout!AJ26&amp;CHAR(10)&amp;IFERROR(IF(INDEX(tblStellplatz[SAP],MATCH(PlanLayout!AJ26,tblStellplatz[Stellplatz],0))="","leer",IF(LEFT(RIGHT(INDEX(tblStellplatz[SAP],MATCH(PlanLayout!AJ26,tblStellplatz[Stellplatz],0)),4),1)="0",RIGHT(INDEX(tblStellplatz[SAP],MATCH(PlanLayout!AJ26,tblStellplatz[Stellplatz],0)),5),RIGHT(INDEX(tblStellplatz[SAP],MATCH(PlanLayout!AJ26,tblStellplatz[Stellplatz],0)),4))),"?"))</f>
        <v/>
      </c>
      <c r="AK26" s="4">
        <f>IF(PlanLayout!AK26="","",PlanLayout!AK26&amp;CHAR(10)&amp;IFERROR(IF(INDEX(tblStellplatz[SAP],MATCH(PlanLayout!AK26,tblStellplatz[Stellplatz],0))="","leer",IF(LEFT(RIGHT(INDEX(tblStellplatz[SAP],MATCH(PlanLayout!AK26,tblStellplatz[Stellplatz],0)),4),1)="0",RIGHT(INDEX(tblStellplatz[SAP],MATCH(PlanLayout!AK26,tblStellplatz[Stellplatz],0)),5),RIGHT(INDEX(tblStellplatz[SAP],MATCH(PlanLayout!AK26,tblStellplatz[Stellplatz],0)),4))),"?"))</f>
        <v/>
      </c>
      <c r="AL26" s="4">
        <f>IF(PlanLayout!AL26="","",PlanLayout!AL26&amp;CHAR(10)&amp;IFERROR(IF(INDEX(tblStellplatz[SAP],MATCH(PlanLayout!AL26,tblStellplatz[Stellplatz],0))="","leer",IF(LEFT(RIGHT(INDEX(tblStellplatz[SAP],MATCH(PlanLayout!AL26,tblStellplatz[Stellplatz],0)),4),1)="0",RIGHT(INDEX(tblStellplatz[SAP],MATCH(PlanLayout!AL26,tblStellplatz[Stellplatz],0)),5),RIGHT(INDEX(tblStellplatz[SAP],MATCH(PlanLayout!AL26,tblStellplatz[Stellplatz],0)),4))),"?"))</f>
        <v/>
      </c>
      <c r="AM26" s="4">
        <f>IF(PlanLayout!AM26="","",PlanLayout!AM26&amp;CHAR(10)&amp;IFERROR(IF(INDEX(tblStellplatz[SAP],MATCH(PlanLayout!AM26,tblStellplatz[Stellplatz],0))="","leer",IF(LEFT(RIGHT(INDEX(tblStellplatz[SAP],MATCH(PlanLayout!AM26,tblStellplatz[Stellplatz],0)),4),1)="0",RIGHT(INDEX(tblStellplatz[SAP],MATCH(PlanLayout!AM26,tblStellplatz[Stellplatz],0)),5),RIGHT(INDEX(tblStellplatz[SAP],MATCH(PlanLayout!AM26,tblStellplatz[Stellplatz],0)),4))),"?"))</f>
        <v/>
      </c>
      <c r="AN26" s="4">
        <f>IF(PlanLayout!AN26="","",PlanLayout!AN26&amp;CHAR(10)&amp;IFERROR(IF(INDEX(tblStellplatz[SAP],MATCH(PlanLayout!AN26,tblStellplatz[Stellplatz],0))="","leer",IF(LEFT(RIGHT(INDEX(tblStellplatz[SAP],MATCH(PlanLayout!AN26,tblStellplatz[Stellplatz],0)),4),1)="0",RIGHT(INDEX(tblStellplatz[SAP],MATCH(PlanLayout!AN26,tblStellplatz[Stellplatz],0)),5),RIGHT(INDEX(tblStellplatz[SAP],MATCH(PlanLayout!AN26,tblStellplatz[Stellplatz],0)),4))),"?"))</f>
        <v/>
      </c>
      <c r="AO26" s="4">
        <f>IF(PlanLayout!AO26="","",PlanLayout!AO26&amp;CHAR(10)&amp;IFERROR(IF(INDEX(tblStellplatz[SAP],MATCH(PlanLayout!AO26,tblStellplatz[Stellplatz],0))="","leer",IF(LEFT(RIGHT(INDEX(tblStellplatz[SAP],MATCH(PlanLayout!AO26,tblStellplatz[Stellplatz],0)),4),1)="0",RIGHT(INDEX(tblStellplatz[SAP],MATCH(PlanLayout!AO26,tblStellplatz[Stellplatz],0)),5),RIGHT(INDEX(tblStellplatz[SAP],MATCH(PlanLayout!AO26,tblStellplatz[Stellplatz],0)),4))),"?"))</f>
        <v/>
      </c>
    </row>
    <row r="27" ht="30" customHeight="1">
      <c r="B27" s="4">
        <f>IF(PlanLayout!B27="","",PlanLayout!B27&amp;CHAR(10)&amp;IFERROR(IF(INDEX(tblStellplatz[SAP],MATCH(PlanLayout!B27,tblStellplatz[Stellplatz],0))="","leer",IF(LEFT(RIGHT(INDEX(tblStellplatz[SAP],MATCH(PlanLayout!B27,tblStellplatz[Stellplatz],0)),4),1)="0",RIGHT(INDEX(tblStellplatz[SAP],MATCH(PlanLayout!B27,tblStellplatz[Stellplatz],0)),5),RIGHT(INDEX(tblStellplatz[SAP],MATCH(PlanLayout!B27,tblStellplatz[Stellplatz],0)),4))),"?"))</f>
        <v/>
      </c>
      <c r="C27" s="4">
        <f>IF(PlanLayout!C27="","",PlanLayout!C27&amp;CHAR(10)&amp;IFERROR(IF(INDEX(tblStellplatz[SAP],MATCH(PlanLayout!C27,tblStellplatz[Stellplatz],0))="","leer",IF(LEFT(RIGHT(INDEX(tblStellplatz[SAP],MATCH(PlanLayout!C27,tblStellplatz[Stellplatz],0)),4),1)="0",RIGHT(INDEX(tblStellplatz[SAP],MATCH(PlanLayout!C27,tblStellplatz[Stellplatz],0)),5),RIGHT(INDEX(tblStellplatz[SAP],MATCH(PlanLayout!C27,tblStellplatz[Stellplatz],0)),4))),"?"))</f>
        <v/>
      </c>
      <c r="D27" s="4">
        <f>IF(PlanLayout!D27="","",PlanLayout!D27&amp;CHAR(10)&amp;IFERROR(IF(INDEX(tblStellplatz[SAP],MATCH(PlanLayout!D27,tblStellplatz[Stellplatz],0))="","leer",IF(LEFT(RIGHT(INDEX(tblStellplatz[SAP],MATCH(PlanLayout!D27,tblStellplatz[Stellplatz],0)),4),1)="0",RIGHT(INDEX(tblStellplatz[SAP],MATCH(PlanLayout!D27,tblStellplatz[Stellplatz],0)),5),RIGHT(INDEX(tblStellplatz[SAP],MATCH(PlanLayout!D27,tblStellplatz[Stellplatz],0)),4))),"?"))</f>
        <v/>
      </c>
      <c r="E27" s="4">
        <f>IF(PlanLayout!E27="","",PlanLayout!E27&amp;CHAR(10)&amp;IFERROR(IF(INDEX(tblStellplatz[SAP],MATCH(PlanLayout!E27,tblStellplatz[Stellplatz],0))="","leer",IF(LEFT(RIGHT(INDEX(tblStellplatz[SAP],MATCH(PlanLayout!E27,tblStellplatz[Stellplatz],0)),4),1)="0",RIGHT(INDEX(tblStellplatz[SAP],MATCH(PlanLayout!E27,tblStellplatz[Stellplatz],0)),5),RIGHT(INDEX(tblStellplatz[SAP],MATCH(PlanLayout!E27,tblStellplatz[Stellplatz],0)),4))),"?"))</f>
        <v/>
      </c>
      <c r="F27" s="4">
        <f>IF(PlanLayout!F27="","",PlanLayout!F27&amp;CHAR(10)&amp;IFERROR(IF(INDEX(tblStellplatz[SAP],MATCH(PlanLayout!F27,tblStellplatz[Stellplatz],0))="","leer",IF(LEFT(RIGHT(INDEX(tblStellplatz[SAP],MATCH(PlanLayout!F27,tblStellplatz[Stellplatz],0)),4),1)="0",RIGHT(INDEX(tblStellplatz[SAP],MATCH(PlanLayout!F27,tblStellplatz[Stellplatz],0)),5),RIGHT(INDEX(tblStellplatz[SAP],MATCH(PlanLayout!F27,tblStellplatz[Stellplatz],0)),4))),"?"))</f>
        <v/>
      </c>
      <c r="G27" s="4">
        <f>IF(PlanLayout!G27="","",PlanLayout!G27&amp;CHAR(10)&amp;IFERROR(IF(INDEX(tblStellplatz[SAP],MATCH(PlanLayout!G27,tblStellplatz[Stellplatz],0))="","leer",IF(LEFT(RIGHT(INDEX(tblStellplatz[SAP],MATCH(PlanLayout!G27,tblStellplatz[Stellplatz],0)),4),1)="0",RIGHT(INDEX(tblStellplatz[SAP],MATCH(PlanLayout!G27,tblStellplatz[Stellplatz],0)),5),RIGHT(INDEX(tblStellplatz[SAP],MATCH(PlanLayout!G27,tblStellplatz[Stellplatz],0)),4))),"?"))</f>
        <v/>
      </c>
      <c r="H27" s="4">
        <f>IF(PlanLayout!H27="","",PlanLayout!H27&amp;CHAR(10)&amp;IFERROR(IF(INDEX(tblStellplatz[SAP],MATCH(PlanLayout!H27,tblStellplatz[Stellplatz],0))="","leer",IF(LEFT(RIGHT(INDEX(tblStellplatz[SAP],MATCH(PlanLayout!H27,tblStellplatz[Stellplatz],0)),4),1)="0",RIGHT(INDEX(tblStellplatz[SAP],MATCH(PlanLayout!H27,tblStellplatz[Stellplatz],0)),5),RIGHT(INDEX(tblStellplatz[SAP],MATCH(PlanLayout!H27,tblStellplatz[Stellplatz],0)),4))),"?"))</f>
        <v/>
      </c>
      <c r="I27" s="4">
        <f>IF(PlanLayout!I27="","",PlanLayout!I27&amp;CHAR(10)&amp;IFERROR(IF(INDEX(tblStellplatz[SAP],MATCH(PlanLayout!I27,tblStellplatz[Stellplatz],0))="","leer",IF(LEFT(RIGHT(INDEX(tblStellplatz[SAP],MATCH(PlanLayout!I27,tblStellplatz[Stellplatz],0)),4),1)="0",RIGHT(INDEX(tblStellplatz[SAP],MATCH(PlanLayout!I27,tblStellplatz[Stellplatz],0)),5),RIGHT(INDEX(tblStellplatz[SAP],MATCH(PlanLayout!I27,tblStellplatz[Stellplatz],0)),4))),"?"))</f>
        <v/>
      </c>
      <c r="J27" s="4">
        <f>IF(PlanLayout!J27="","",PlanLayout!J27&amp;CHAR(10)&amp;IFERROR(IF(INDEX(tblStellplatz[SAP],MATCH(PlanLayout!J27,tblStellplatz[Stellplatz],0))="","leer",IF(LEFT(RIGHT(INDEX(tblStellplatz[SAP],MATCH(PlanLayout!J27,tblStellplatz[Stellplatz],0)),4),1)="0",RIGHT(INDEX(tblStellplatz[SAP],MATCH(PlanLayout!J27,tblStellplatz[Stellplatz],0)),5),RIGHT(INDEX(tblStellplatz[SAP],MATCH(PlanLayout!J27,tblStellplatz[Stellplatz],0)),4))),"?"))</f>
        <v/>
      </c>
      <c r="K27" s="4">
        <f>IF(PlanLayout!K27="","",PlanLayout!K27&amp;CHAR(10)&amp;IFERROR(IF(INDEX(tblStellplatz[SAP],MATCH(PlanLayout!K27,tblStellplatz[Stellplatz],0))="","leer",IF(LEFT(RIGHT(INDEX(tblStellplatz[SAP],MATCH(PlanLayout!K27,tblStellplatz[Stellplatz],0)),4),1)="0",RIGHT(INDEX(tblStellplatz[SAP],MATCH(PlanLayout!K27,tblStellplatz[Stellplatz],0)),5),RIGHT(INDEX(tblStellplatz[SAP],MATCH(PlanLayout!K27,tblStellplatz[Stellplatz],0)),4))),"?"))</f>
        <v/>
      </c>
      <c r="L27" s="4">
        <f>IF(PlanLayout!L27="","",PlanLayout!L27&amp;CHAR(10)&amp;IFERROR(IF(INDEX(tblStellplatz[SAP],MATCH(PlanLayout!L27,tblStellplatz[Stellplatz],0))="","leer",IF(LEFT(RIGHT(INDEX(tblStellplatz[SAP],MATCH(PlanLayout!L27,tblStellplatz[Stellplatz],0)),4),1)="0",RIGHT(INDEX(tblStellplatz[SAP],MATCH(PlanLayout!L27,tblStellplatz[Stellplatz],0)),5),RIGHT(INDEX(tblStellplatz[SAP],MATCH(PlanLayout!L27,tblStellplatz[Stellplatz],0)),4))),"?"))</f>
        <v/>
      </c>
      <c r="M27" s="4">
        <f>IF(PlanLayout!M27="","",PlanLayout!M27&amp;CHAR(10)&amp;IFERROR(IF(INDEX(tblStellplatz[SAP],MATCH(PlanLayout!M27,tblStellplatz[Stellplatz],0))="","leer",IF(LEFT(RIGHT(INDEX(tblStellplatz[SAP],MATCH(PlanLayout!M27,tblStellplatz[Stellplatz],0)),4),1)="0",RIGHT(INDEX(tblStellplatz[SAP],MATCH(PlanLayout!M27,tblStellplatz[Stellplatz],0)),5),RIGHT(INDEX(tblStellplatz[SAP],MATCH(PlanLayout!M27,tblStellplatz[Stellplatz],0)),4))),"?"))</f>
        <v/>
      </c>
      <c r="N27" s="4">
        <f>IF(PlanLayout!N27="","",PlanLayout!N27&amp;CHAR(10)&amp;IFERROR(IF(INDEX(tblStellplatz[SAP],MATCH(PlanLayout!N27,tblStellplatz[Stellplatz],0))="","leer",IF(LEFT(RIGHT(INDEX(tblStellplatz[SAP],MATCH(PlanLayout!N27,tblStellplatz[Stellplatz],0)),4),1)="0",RIGHT(INDEX(tblStellplatz[SAP],MATCH(PlanLayout!N27,tblStellplatz[Stellplatz],0)),5),RIGHT(INDEX(tblStellplatz[SAP],MATCH(PlanLayout!N27,tblStellplatz[Stellplatz],0)),4))),"?"))</f>
        <v/>
      </c>
      <c r="O27" s="4">
        <f>IF(PlanLayout!O27="","",PlanLayout!O27&amp;CHAR(10)&amp;IFERROR(IF(INDEX(tblStellplatz[SAP],MATCH(PlanLayout!O27,tblStellplatz[Stellplatz],0))="","leer",IF(LEFT(RIGHT(INDEX(tblStellplatz[SAP],MATCH(PlanLayout!O27,tblStellplatz[Stellplatz],0)),4),1)="0",RIGHT(INDEX(tblStellplatz[SAP],MATCH(PlanLayout!O27,tblStellplatz[Stellplatz],0)),5),RIGHT(INDEX(tblStellplatz[SAP],MATCH(PlanLayout!O27,tblStellplatz[Stellplatz],0)),4))),"?"))</f>
        <v/>
      </c>
      <c r="P27" s="4">
        <f>IF(PlanLayout!P27="","",PlanLayout!P27&amp;CHAR(10)&amp;IFERROR(IF(INDEX(tblStellplatz[SAP],MATCH(PlanLayout!P27,tblStellplatz[Stellplatz],0))="","leer",IF(LEFT(RIGHT(INDEX(tblStellplatz[SAP],MATCH(PlanLayout!P27,tblStellplatz[Stellplatz],0)),4),1)="0",RIGHT(INDEX(tblStellplatz[SAP],MATCH(PlanLayout!P27,tblStellplatz[Stellplatz],0)),5),RIGHT(INDEX(tblStellplatz[SAP],MATCH(PlanLayout!P27,tblStellplatz[Stellplatz],0)),4))),"?"))</f>
        <v/>
      </c>
      <c r="Q27" s="4">
        <f>IF(PlanLayout!Q27="","",PlanLayout!Q27&amp;CHAR(10)&amp;IFERROR(IF(INDEX(tblStellplatz[SAP],MATCH(PlanLayout!Q27,tblStellplatz[Stellplatz],0))="","leer",IF(LEFT(RIGHT(INDEX(tblStellplatz[SAP],MATCH(PlanLayout!Q27,tblStellplatz[Stellplatz],0)),4),1)="0",RIGHT(INDEX(tblStellplatz[SAP],MATCH(PlanLayout!Q27,tblStellplatz[Stellplatz],0)),5),RIGHT(INDEX(tblStellplatz[SAP],MATCH(PlanLayout!Q27,tblStellplatz[Stellplatz],0)),4))),"?"))</f>
        <v/>
      </c>
      <c r="R27" s="4">
        <f>IF(PlanLayout!R27="","",PlanLayout!R27&amp;CHAR(10)&amp;IFERROR(IF(INDEX(tblStellplatz[SAP],MATCH(PlanLayout!R27,tblStellplatz[Stellplatz],0))="","leer",IF(LEFT(RIGHT(INDEX(tblStellplatz[SAP],MATCH(PlanLayout!R27,tblStellplatz[Stellplatz],0)),4),1)="0",RIGHT(INDEX(tblStellplatz[SAP],MATCH(PlanLayout!R27,tblStellplatz[Stellplatz],0)),5),RIGHT(INDEX(tblStellplatz[SAP],MATCH(PlanLayout!R27,tblStellplatz[Stellplatz],0)),4))),"?"))</f>
        <v/>
      </c>
      <c r="S27" s="4">
        <f>IF(PlanLayout!S27="","",PlanLayout!S27&amp;CHAR(10)&amp;IFERROR(IF(INDEX(tblStellplatz[SAP],MATCH(PlanLayout!S27,tblStellplatz[Stellplatz],0))="","leer",IF(LEFT(RIGHT(INDEX(tblStellplatz[SAP],MATCH(PlanLayout!S27,tblStellplatz[Stellplatz],0)),4),1)="0",RIGHT(INDEX(tblStellplatz[SAP],MATCH(PlanLayout!S27,tblStellplatz[Stellplatz],0)),5),RIGHT(INDEX(tblStellplatz[SAP],MATCH(PlanLayout!S27,tblStellplatz[Stellplatz],0)),4))),"?"))</f>
        <v/>
      </c>
      <c r="T27" s="4">
        <f>IF(PlanLayout!T27="","",PlanLayout!T27&amp;CHAR(10)&amp;IFERROR(IF(INDEX(tblStellplatz[SAP],MATCH(PlanLayout!T27,tblStellplatz[Stellplatz],0))="","leer",IF(LEFT(RIGHT(INDEX(tblStellplatz[SAP],MATCH(PlanLayout!T27,tblStellplatz[Stellplatz],0)),4),1)="0",RIGHT(INDEX(tblStellplatz[SAP],MATCH(PlanLayout!T27,tblStellplatz[Stellplatz],0)),5),RIGHT(INDEX(tblStellplatz[SAP],MATCH(PlanLayout!T27,tblStellplatz[Stellplatz],0)),4))),"?"))</f>
        <v/>
      </c>
      <c r="U27" s="4">
        <f>IF(PlanLayout!U27="","",PlanLayout!U27&amp;CHAR(10)&amp;IFERROR(IF(INDEX(tblStellplatz[SAP],MATCH(PlanLayout!U27,tblStellplatz[Stellplatz],0))="","leer",IF(LEFT(RIGHT(INDEX(tblStellplatz[SAP],MATCH(PlanLayout!U27,tblStellplatz[Stellplatz],0)),4),1)="0",RIGHT(INDEX(tblStellplatz[SAP],MATCH(PlanLayout!U27,tblStellplatz[Stellplatz],0)),5),RIGHT(INDEX(tblStellplatz[SAP],MATCH(PlanLayout!U27,tblStellplatz[Stellplatz],0)),4))),"?"))</f>
        <v/>
      </c>
      <c r="V27" s="4">
        <f>IF(PlanLayout!V27="","",PlanLayout!V27&amp;CHAR(10)&amp;IFERROR(IF(INDEX(tblStellplatz[SAP],MATCH(PlanLayout!V27,tblStellplatz[Stellplatz],0))="","leer",IF(LEFT(RIGHT(INDEX(tblStellplatz[SAP],MATCH(PlanLayout!V27,tblStellplatz[Stellplatz],0)),4),1)="0",RIGHT(INDEX(tblStellplatz[SAP],MATCH(PlanLayout!V27,tblStellplatz[Stellplatz],0)),5),RIGHT(INDEX(tblStellplatz[SAP],MATCH(PlanLayout!V27,tblStellplatz[Stellplatz],0)),4))),"?"))</f>
        <v/>
      </c>
      <c r="W27" s="4">
        <f>IF(PlanLayout!W27="","",PlanLayout!W27&amp;CHAR(10)&amp;IFERROR(IF(INDEX(tblStellplatz[SAP],MATCH(PlanLayout!W27,tblStellplatz[Stellplatz],0))="","leer",IF(LEFT(RIGHT(INDEX(tblStellplatz[SAP],MATCH(PlanLayout!W27,tblStellplatz[Stellplatz],0)),4),1)="0",RIGHT(INDEX(tblStellplatz[SAP],MATCH(PlanLayout!W27,tblStellplatz[Stellplatz],0)),5),RIGHT(INDEX(tblStellplatz[SAP],MATCH(PlanLayout!W27,tblStellplatz[Stellplatz],0)),4))),"?"))</f>
        <v/>
      </c>
      <c r="X27" s="4">
        <f>IF(PlanLayout!X27="","",PlanLayout!X27&amp;CHAR(10)&amp;IFERROR(IF(INDEX(tblStellplatz[SAP],MATCH(PlanLayout!X27,tblStellplatz[Stellplatz],0))="","leer",IF(LEFT(RIGHT(INDEX(tblStellplatz[SAP],MATCH(PlanLayout!X27,tblStellplatz[Stellplatz],0)),4),1)="0",RIGHT(INDEX(tblStellplatz[SAP],MATCH(PlanLayout!X27,tblStellplatz[Stellplatz],0)),5),RIGHT(INDEX(tblStellplatz[SAP],MATCH(PlanLayout!X27,tblStellplatz[Stellplatz],0)),4))),"?"))</f>
        <v/>
      </c>
      <c r="Y27" s="4">
        <f>IF(PlanLayout!Y27="","",PlanLayout!Y27&amp;CHAR(10)&amp;IFERROR(IF(INDEX(tblStellplatz[SAP],MATCH(PlanLayout!Y27,tblStellplatz[Stellplatz],0))="","leer",IF(LEFT(RIGHT(INDEX(tblStellplatz[SAP],MATCH(PlanLayout!Y27,tblStellplatz[Stellplatz],0)),4),1)="0",RIGHT(INDEX(tblStellplatz[SAP],MATCH(PlanLayout!Y27,tblStellplatz[Stellplatz],0)),5),RIGHT(INDEX(tblStellplatz[SAP],MATCH(PlanLayout!Y27,tblStellplatz[Stellplatz],0)),4))),"?"))</f>
        <v/>
      </c>
      <c r="Z27" s="4">
        <f>IF(PlanLayout!Z27="","",PlanLayout!Z27&amp;CHAR(10)&amp;IFERROR(IF(INDEX(tblStellplatz[SAP],MATCH(PlanLayout!Z27,tblStellplatz[Stellplatz],0))="","leer",IF(LEFT(RIGHT(INDEX(tblStellplatz[SAP],MATCH(PlanLayout!Z27,tblStellplatz[Stellplatz],0)),4),1)="0",RIGHT(INDEX(tblStellplatz[SAP],MATCH(PlanLayout!Z27,tblStellplatz[Stellplatz],0)),5),RIGHT(INDEX(tblStellplatz[SAP],MATCH(PlanLayout!Z27,tblStellplatz[Stellplatz],0)),4))),"?"))</f>
        <v/>
      </c>
      <c r="AA27" s="4">
        <f>IF(PlanLayout!AA27="","",PlanLayout!AA27&amp;CHAR(10)&amp;IFERROR(IF(INDEX(tblStellplatz[SAP],MATCH(PlanLayout!AA27,tblStellplatz[Stellplatz],0))="","leer",IF(LEFT(RIGHT(INDEX(tblStellplatz[SAP],MATCH(PlanLayout!AA27,tblStellplatz[Stellplatz],0)),4),1)="0",RIGHT(INDEX(tblStellplatz[SAP],MATCH(PlanLayout!AA27,tblStellplatz[Stellplatz],0)),5),RIGHT(INDEX(tblStellplatz[SAP],MATCH(PlanLayout!AA27,tblStellplatz[Stellplatz],0)),4))),"?"))</f>
        <v/>
      </c>
      <c r="AB27" s="4">
        <f>IF(PlanLayout!AB27="","",PlanLayout!AB27&amp;CHAR(10)&amp;IFERROR(IF(INDEX(tblStellplatz[SAP],MATCH(PlanLayout!AB27,tblStellplatz[Stellplatz],0))="","leer",IF(LEFT(RIGHT(INDEX(tblStellplatz[SAP],MATCH(PlanLayout!AB27,tblStellplatz[Stellplatz],0)),4),1)="0",RIGHT(INDEX(tblStellplatz[SAP],MATCH(PlanLayout!AB27,tblStellplatz[Stellplatz],0)),5),RIGHT(INDEX(tblStellplatz[SAP],MATCH(PlanLayout!AB27,tblStellplatz[Stellplatz],0)),4))),"?"))</f>
        <v/>
      </c>
      <c r="AC27" s="4">
        <f>IF(PlanLayout!AC27="","",PlanLayout!AC27&amp;CHAR(10)&amp;IFERROR(IF(INDEX(tblStellplatz[SAP],MATCH(PlanLayout!AC27,tblStellplatz[Stellplatz],0))="","leer",IF(LEFT(RIGHT(INDEX(tblStellplatz[SAP],MATCH(PlanLayout!AC27,tblStellplatz[Stellplatz],0)),4),1)="0",RIGHT(INDEX(tblStellplatz[SAP],MATCH(PlanLayout!AC27,tblStellplatz[Stellplatz],0)),5),RIGHT(INDEX(tblStellplatz[SAP],MATCH(PlanLayout!AC27,tblStellplatz[Stellplatz],0)),4))),"?"))</f>
        <v/>
      </c>
      <c r="AD27" s="4">
        <f>IF(PlanLayout!AD27="","",PlanLayout!AD27&amp;CHAR(10)&amp;IFERROR(IF(INDEX(tblStellplatz[SAP],MATCH(PlanLayout!AD27,tblStellplatz[Stellplatz],0))="","leer",IF(LEFT(RIGHT(INDEX(tblStellplatz[SAP],MATCH(PlanLayout!AD27,tblStellplatz[Stellplatz],0)),4),1)="0",RIGHT(INDEX(tblStellplatz[SAP],MATCH(PlanLayout!AD27,tblStellplatz[Stellplatz],0)),5),RIGHT(INDEX(tblStellplatz[SAP],MATCH(PlanLayout!AD27,tblStellplatz[Stellplatz],0)),4))),"?"))</f>
        <v/>
      </c>
      <c r="AE27" s="4">
        <f>IF(PlanLayout!AE27="","",PlanLayout!AE27&amp;CHAR(10)&amp;IFERROR(IF(INDEX(tblStellplatz[SAP],MATCH(PlanLayout!AE27,tblStellplatz[Stellplatz],0))="","leer",IF(LEFT(RIGHT(INDEX(tblStellplatz[SAP],MATCH(PlanLayout!AE27,tblStellplatz[Stellplatz],0)),4),1)="0",RIGHT(INDEX(tblStellplatz[SAP],MATCH(PlanLayout!AE27,tblStellplatz[Stellplatz],0)),5),RIGHT(INDEX(tblStellplatz[SAP],MATCH(PlanLayout!AE27,tblStellplatz[Stellplatz],0)),4))),"?"))</f>
        <v/>
      </c>
      <c r="AF27" s="4">
        <f>IF(PlanLayout!AF27="","",PlanLayout!AF27&amp;CHAR(10)&amp;IFERROR(IF(INDEX(tblStellplatz[SAP],MATCH(PlanLayout!AF27,tblStellplatz[Stellplatz],0))="","leer",IF(LEFT(RIGHT(INDEX(tblStellplatz[SAP],MATCH(PlanLayout!AF27,tblStellplatz[Stellplatz],0)),4),1)="0",RIGHT(INDEX(tblStellplatz[SAP],MATCH(PlanLayout!AF27,tblStellplatz[Stellplatz],0)),5),RIGHT(INDEX(tblStellplatz[SAP],MATCH(PlanLayout!AF27,tblStellplatz[Stellplatz],0)),4))),"?"))</f>
        <v/>
      </c>
      <c r="AG27" s="4">
        <f>IF(PlanLayout!AG27="","",PlanLayout!AG27&amp;CHAR(10)&amp;IFERROR(IF(INDEX(tblStellplatz[SAP],MATCH(PlanLayout!AG27,tblStellplatz[Stellplatz],0))="","leer",IF(LEFT(RIGHT(INDEX(tblStellplatz[SAP],MATCH(PlanLayout!AG27,tblStellplatz[Stellplatz],0)),4),1)="0",RIGHT(INDEX(tblStellplatz[SAP],MATCH(PlanLayout!AG27,tblStellplatz[Stellplatz],0)),5),RIGHT(INDEX(tblStellplatz[SAP],MATCH(PlanLayout!AG27,tblStellplatz[Stellplatz],0)),4))),"?"))</f>
        <v/>
      </c>
      <c r="AH27" s="4">
        <f>IF(PlanLayout!AH27="","",PlanLayout!AH27&amp;CHAR(10)&amp;IFERROR(IF(INDEX(tblStellplatz[SAP],MATCH(PlanLayout!AH27,tblStellplatz[Stellplatz],0))="","leer",IF(LEFT(RIGHT(INDEX(tblStellplatz[SAP],MATCH(PlanLayout!AH27,tblStellplatz[Stellplatz],0)),4),1)="0",RIGHT(INDEX(tblStellplatz[SAP],MATCH(PlanLayout!AH27,tblStellplatz[Stellplatz],0)),5),RIGHT(INDEX(tblStellplatz[SAP],MATCH(PlanLayout!AH27,tblStellplatz[Stellplatz],0)),4))),"?"))</f>
        <v/>
      </c>
      <c r="AI27" s="4">
        <f>IF(PlanLayout!AI27="","",PlanLayout!AI27&amp;CHAR(10)&amp;IFERROR(IF(INDEX(tblStellplatz[SAP],MATCH(PlanLayout!AI27,tblStellplatz[Stellplatz],0))="","leer",IF(LEFT(RIGHT(INDEX(tblStellplatz[SAP],MATCH(PlanLayout!AI27,tblStellplatz[Stellplatz],0)),4),1)="0",RIGHT(INDEX(tblStellplatz[SAP],MATCH(PlanLayout!AI27,tblStellplatz[Stellplatz],0)),5),RIGHT(INDEX(tblStellplatz[SAP],MATCH(PlanLayout!AI27,tblStellplatz[Stellplatz],0)),4))),"?"))</f>
        <v/>
      </c>
      <c r="AJ27" s="4">
        <f>IF(PlanLayout!AJ27="","",PlanLayout!AJ27&amp;CHAR(10)&amp;IFERROR(IF(INDEX(tblStellplatz[SAP],MATCH(PlanLayout!AJ27,tblStellplatz[Stellplatz],0))="","leer",IF(LEFT(RIGHT(INDEX(tblStellplatz[SAP],MATCH(PlanLayout!AJ27,tblStellplatz[Stellplatz],0)),4),1)="0",RIGHT(INDEX(tblStellplatz[SAP],MATCH(PlanLayout!AJ27,tblStellplatz[Stellplatz],0)),5),RIGHT(INDEX(tblStellplatz[SAP],MATCH(PlanLayout!AJ27,tblStellplatz[Stellplatz],0)),4))),"?"))</f>
        <v/>
      </c>
      <c r="AK27" s="4">
        <f>IF(PlanLayout!AK27="","",PlanLayout!AK27&amp;CHAR(10)&amp;IFERROR(IF(INDEX(tblStellplatz[SAP],MATCH(PlanLayout!AK27,tblStellplatz[Stellplatz],0))="","leer",IF(LEFT(RIGHT(INDEX(tblStellplatz[SAP],MATCH(PlanLayout!AK27,tblStellplatz[Stellplatz],0)),4),1)="0",RIGHT(INDEX(tblStellplatz[SAP],MATCH(PlanLayout!AK27,tblStellplatz[Stellplatz],0)),5),RIGHT(INDEX(tblStellplatz[SAP],MATCH(PlanLayout!AK27,tblStellplatz[Stellplatz],0)),4))),"?"))</f>
        <v/>
      </c>
      <c r="AL27" s="4">
        <f>IF(PlanLayout!AL27="","",PlanLayout!AL27&amp;CHAR(10)&amp;IFERROR(IF(INDEX(tblStellplatz[SAP],MATCH(PlanLayout!AL27,tblStellplatz[Stellplatz],0))="","leer",IF(LEFT(RIGHT(INDEX(tblStellplatz[SAP],MATCH(PlanLayout!AL27,tblStellplatz[Stellplatz],0)),4),1)="0",RIGHT(INDEX(tblStellplatz[SAP],MATCH(PlanLayout!AL27,tblStellplatz[Stellplatz],0)),5),RIGHT(INDEX(tblStellplatz[SAP],MATCH(PlanLayout!AL27,tblStellplatz[Stellplatz],0)),4))),"?"))</f>
        <v/>
      </c>
      <c r="AM27" s="4">
        <f>IF(PlanLayout!AM27="","",PlanLayout!AM27&amp;CHAR(10)&amp;IFERROR(IF(INDEX(tblStellplatz[SAP],MATCH(PlanLayout!AM27,tblStellplatz[Stellplatz],0))="","leer",IF(LEFT(RIGHT(INDEX(tblStellplatz[SAP],MATCH(PlanLayout!AM27,tblStellplatz[Stellplatz],0)),4),1)="0",RIGHT(INDEX(tblStellplatz[SAP],MATCH(PlanLayout!AM27,tblStellplatz[Stellplatz],0)),5),RIGHT(INDEX(tblStellplatz[SAP],MATCH(PlanLayout!AM27,tblStellplatz[Stellplatz],0)),4))),"?"))</f>
        <v/>
      </c>
      <c r="AN27" s="4">
        <f>IF(PlanLayout!AN27="","",PlanLayout!AN27&amp;CHAR(10)&amp;IFERROR(IF(INDEX(tblStellplatz[SAP],MATCH(PlanLayout!AN27,tblStellplatz[Stellplatz],0))="","leer",IF(LEFT(RIGHT(INDEX(tblStellplatz[SAP],MATCH(PlanLayout!AN27,tblStellplatz[Stellplatz],0)),4),1)="0",RIGHT(INDEX(tblStellplatz[SAP],MATCH(PlanLayout!AN27,tblStellplatz[Stellplatz],0)),5),RIGHT(INDEX(tblStellplatz[SAP],MATCH(PlanLayout!AN27,tblStellplatz[Stellplatz],0)),4))),"?"))</f>
        <v/>
      </c>
      <c r="AO27" s="4">
        <f>IF(PlanLayout!AO27="","",PlanLayout!AO27&amp;CHAR(10)&amp;IFERROR(IF(INDEX(tblStellplatz[SAP],MATCH(PlanLayout!AO27,tblStellplatz[Stellplatz],0))="","leer",IF(LEFT(RIGHT(INDEX(tblStellplatz[SAP],MATCH(PlanLayout!AO27,tblStellplatz[Stellplatz],0)),4),1)="0",RIGHT(INDEX(tblStellplatz[SAP],MATCH(PlanLayout!AO27,tblStellplatz[Stellplatz],0)),5),RIGHT(INDEX(tblStellplatz[SAP],MATCH(PlanLayout!AO27,tblStellplatz[Stellplatz],0)),4))),"?"))</f>
        <v/>
      </c>
    </row>
    <row r="28" ht="30" customHeight="1">
      <c r="B28" s="4">
        <f>IF(PlanLayout!B28="","",PlanLayout!B28&amp;CHAR(10)&amp;IFERROR(IF(INDEX(tblStellplatz[SAP],MATCH(PlanLayout!B28,tblStellplatz[Stellplatz],0))="","leer",IF(LEFT(RIGHT(INDEX(tblStellplatz[SAP],MATCH(PlanLayout!B28,tblStellplatz[Stellplatz],0)),4),1)="0",RIGHT(INDEX(tblStellplatz[SAP],MATCH(PlanLayout!B28,tblStellplatz[Stellplatz],0)),5),RIGHT(INDEX(tblStellplatz[SAP],MATCH(PlanLayout!B28,tblStellplatz[Stellplatz],0)),4))),"?"))</f>
        <v/>
      </c>
      <c r="C28" s="4">
        <f>IF(PlanLayout!C28="","",PlanLayout!C28&amp;CHAR(10)&amp;IFERROR(IF(INDEX(tblStellplatz[SAP],MATCH(PlanLayout!C28,tblStellplatz[Stellplatz],0))="","leer",IF(LEFT(RIGHT(INDEX(tblStellplatz[SAP],MATCH(PlanLayout!C28,tblStellplatz[Stellplatz],0)),4),1)="0",RIGHT(INDEX(tblStellplatz[SAP],MATCH(PlanLayout!C28,tblStellplatz[Stellplatz],0)),5),RIGHT(INDEX(tblStellplatz[SAP],MATCH(PlanLayout!C28,tblStellplatz[Stellplatz],0)),4))),"?"))</f>
        <v/>
      </c>
      <c r="D28" s="4">
        <f>IF(PlanLayout!D28="","",PlanLayout!D28&amp;CHAR(10)&amp;IFERROR(IF(INDEX(tblStellplatz[SAP],MATCH(PlanLayout!D28,tblStellplatz[Stellplatz],0))="","leer",IF(LEFT(RIGHT(INDEX(tblStellplatz[SAP],MATCH(PlanLayout!D28,tblStellplatz[Stellplatz],0)),4),1)="0",RIGHT(INDEX(tblStellplatz[SAP],MATCH(PlanLayout!D28,tblStellplatz[Stellplatz],0)),5),RIGHT(INDEX(tblStellplatz[SAP],MATCH(PlanLayout!D28,tblStellplatz[Stellplatz],0)),4))),"?"))</f>
        <v/>
      </c>
      <c r="E28" s="4">
        <f>IF(PlanLayout!E28="","",PlanLayout!E28&amp;CHAR(10)&amp;IFERROR(IF(INDEX(tblStellplatz[SAP],MATCH(PlanLayout!E28,tblStellplatz[Stellplatz],0))="","leer",IF(LEFT(RIGHT(INDEX(tblStellplatz[SAP],MATCH(PlanLayout!E28,tblStellplatz[Stellplatz],0)),4),1)="0",RIGHT(INDEX(tblStellplatz[SAP],MATCH(PlanLayout!E28,tblStellplatz[Stellplatz],0)),5),RIGHT(INDEX(tblStellplatz[SAP],MATCH(PlanLayout!E28,tblStellplatz[Stellplatz],0)),4))),"?"))</f>
        <v/>
      </c>
      <c r="F28" s="4">
        <f>IF(PlanLayout!F28="","",PlanLayout!F28&amp;CHAR(10)&amp;IFERROR(IF(INDEX(tblStellplatz[SAP],MATCH(PlanLayout!F28,tblStellplatz[Stellplatz],0))="","leer",IF(LEFT(RIGHT(INDEX(tblStellplatz[SAP],MATCH(PlanLayout!F28,tblStellplatz[Stellplatz],0)),4),1)="0",RIGHT(INDEX(tblStellplatz[SAP],MATCH(PlanLayout!F28,tblStellplatz[Stellplatz],0)),5),RIGHT(INDEX(tblStellplatz[SAP],MATCH(PlanLayout!F28,tblStellplatz[Stellplatz],0)),4))),"?"))</f>
        <v/>
      </c>
      <c r="G28" s="4">
        <f>IF(PlanLayout!G28="","",PlanLayout!G28&amp;CHAR(10)&amp;IFERROR(IF(INDEX(tblStellplatz[SAP],MATCH(PlanLayout!G28,tblStellplatz[Stellplatz],0))="","leer",IF(LEFT(RIGHT(INDEX(tblStellplatz[SAP],MATCH(PlanLayout!G28,tblStellplatz[Stellplatz],0)),4),1)="0",RIGHT(INDEX(tblStellplatz[SAP],MATCH(PlanLayout!G28,tblStellplatz[Stellplatz],0)),5),RIGHT(INDEX(tblStellplatz[SAP],MATCH(PlanLayout!G28,tblStellplatz[Stellplatz],0)),4))),"?"))</f>
        <v/>
      </c>
      <c r="H28" s="4">
        <f>IF(PlanLayout!H28="","",PlanLayout!H28&amp;CHAR(10)&amp;IFERROR(IF(INDEX(tblStellplatz[SAP],MATCH(PlanLayout!H28,tblStellplatz[Stellplatz],0))="","leer",IF(LEFT(RIGHT(INDEX(tblStellplatz[SAP],MATCH(PlanLayout!H28,tblStellplatz[Stellplatz],0)),4),1)="0",RIGHT(INDEX(tblStellplatz[SAP],MATCH(PlanLayout!H28,tblStellplatz[Stellplatz],0)),5),RIGHT(INDEX(tblStellplatz[SAP],MATCH(PlanLayout!H28,tblStellplatz[Stellplatz],0)),4))),"?"))</f>
        <v/>
      </c>
      <c r="I28" s="4">
        <f>IF(PlanLayout!I28="","",PlanLayout!I28&amp;CHAR(10)&amp;IFERROR(IF(INDEX(tblStellplatz[SAP],MATCH(PlanLayout!I28,tblStellplatz[Stellplatz],0))="","leer",IF(LEFT(RIGHT(INDEX(tblStellplatz[SAP],MATCH(PlanLayout!I28,tblStellplatz[Stellplatz],0)),4),1)="0",RIGHT(INDEX(tblStellplatz[SAP],MATCH(PlanLayout!I28,tblStellplatz[Stellplatz],0)),5),RIGHT(INDEX(tblStellplatz[SAP],MATCH(PlanLayout!I28,tblStellplatz[Stellplatz],0)),4))),"?"))</f>
        <v/>
      </c>
      <c r="J28" s="4">
        <f>IF(PlanLayout!J28="","",PlanLayout!J28&amp;CHAR(10)&amp;IFERROR(IF(INDEX(tblStellplatz[SAP],MATCH(PlanLayout!J28,tblStellplatz[Stellplatz],0))="","leer",IF(LEFT(RIGHT(INDEX(tblStellplatz[SAP],MATCH(PlanLayout!J28,tblStellplatz[Stellplatz],0)),4),1)="0",RIGHT(INDEX(tblStellplatz[SAP],MATCH(PlanLayout!J28,tblStellplatz[Stellplatz],0)),5),RIGHT(INDEX(tblStellplatz[SAP],MATCH(PlanLayout!J28,tblStellplatz[Stellplatz],0)),4))),"?"))</f>
        <v/>
      </c>
      <c r="K28" s="4">
        <f>IF(PlanLayout!K28="","",PlanLayout!K28&amp;CHAR(10)&amp;IFERROR(IF(INDEX(tblStellplatz[SAP],MATCH(PlanLayout!K28,tblStellplatz[Stellplatz],0))="","leer",IF(LEFT(RIGHT(INDEX(tblStellplatz[SAP],MATCH(PlanLayout!K28,tblStellplatz[Stellplatz],0)),4),1)="0",RIGHT(INDEX(tblStellplatz[SAP],MATCH(PlanLayout!K28,tblStellplatz[Stellplatz],0)),5),RIGHT(INDEX(tblStellplatz[SAP],MATCH(PlanLayout!K28,tblStellplatz[Stellplatz],0)),4))),"?"))</f>
        <v/>
      </c>
      <c r="L28" s="4">
        <f>IF(PlanLayout!L28="","",PlanLayout!L28&amp;CHAR(10)&amp;IFERROR(IF(INDEX(tblStellplatz[SAP],MATCH(PlanLayout!L28,tblStellplatz[Stellplatz],0))="","leer",IF(LEFT(RIGHT(INDEX(tblStellplatz[SAP],MATCH(PlanLayout!L28,tblStellplatz[Stellplatz],0)),4),1)="0",RIGHT(INDEX(tblStellplatz[SAP],MATCH(PlanLayout!L28,tblStellplatz[Stellplatz],0)),5),RIGHT(INDEX(tblStellplatz[SAP],MATCH(PlanLayout!L28,tblStellplatz[Stellplatz],0)),4))),"?"))</f>
        <v/>
      </c>
      <c r="M28" s="4">
        <f>IF(PlanLayout!M28="","",PlanLayout!M28&amp;CHAR(10)&amp;IFERROR(IF(INDEX(tblStellplatz[SAP],MATCH(PlanLayout!M28,tblStellplatz[Stellplatz],0))="","leer",IF(LEFT(RIGHT(INDEX(tblStellplatz[SAP],MATCH(PlanLayout!M28,tblStellplatz[Stellplatz],0)),4),1)="0",RIGHT(INDEX(tblStellplatz[SAP],MATCH(PlanLayout!M28,tblStellplatz[Stellplatz],0)),5),RIGHT(INDEX(tblStellplatz[SAP],MATCH(PlanLayout!M28,tblStellplatz[Stellplatz],0)),4))),"?"))</f>
        <v/>
      </c>
      <c r="N28" s="4">
        <f>IF(PlanLayout!N28="","",PlanLayout!N28&amp;CHAR(10)&amp;IFERROR(IF(INDEX(tblStellplatz[SAP],MATCH(PlanLayout!N28,tblStellplatz[Stellplatz],0))="","leer",IF(LEFT(RIGHT(INDEX(tblStellplatz[SAP],MATCH(PlanLayout!N28,tblStellplatz[Stellplatz],0)),4),1)="0",RIGHT(INDEX(tblStellplatz[SAP],MATCH(PlanLayout!N28,tblStellplatz[Stellplatz],0)),5),RIGHT(INDEX(tblStellplatz[SAP],MATCH(PlanLayout!N28,tblStellplatz[Stellplatz],0)),4))),"?"))</f>
        <v/>
      </c>
      <c r="O28" s="4">
        <f>IF(PlanLayout!O28="","",PlanLayout!O28&amp;CHAR(10)&amp;IFERROR(IF(INDEX(tblStellplatz[SAP],MATCH(PlanLayout!O28,tblStellplatz[Stellplatz],0))="","leer",IF(LEFT(RIGHT(INDEX(tblStellplatz[SAP],MATCH(PlanLayout!O28,tblStellplatz[Stellplatz],0)),4),1)="0",RIGHT(INDEX(tblStellplatz[SAP],MATCH(PlanLayout!O28,tblStellplatz[Stellplatz],0)),5),RIGHT(INDEX(tblStellplatz[SAP],MATCH(PlanLayout!O28,tblStellplatz[Stellplatz],0)),4))),"?"))</f>
        <v/>
      </c>
      <c r="P28" s="4">
        <f>IF(PlanLayout!P28="","",PlanLayout!P28&amp;CHAR(10)&amp;IFERROR(IF(INDEX(tblStellplatz[SAP],MATCH(PlanLayout!P28,tblStellplatz[Stellplatz],0))="","leer",IF(LEFT(RIGHT(INDEX(tblStellplatz[SAP],MATCH(PlanLayout!P28,tblStellplatz[Stellplatz],0)),4),1)="0",RIGHT(INDEX(tblStellplatz[SAP],MATCH(PlanLayout!P28,tblStellplatz[Stellplatz],0)),5),RIGHT(INDEX(tblStellplatz[SAP],MATCH(PlanLayout!P28,tblStellplatz[Stellplatz],0)),4))),"?"))</f>
        <v/>
      </c>
      <c r="Q28" s="4">
        <f>IF(PlanLayout!Q28="","",PlanLayout!Q28&amp;CHAR(10)&amp;IFERROR(IF(INDEX(tblStellplatz[SAP],MATCH(PlanLayout!Q28,tblStellplatz[Stellplatz],0))="","leer",IF(LEFT(RIGHT(INDEX(tblStellplatz[SAP],MATCH(PlanLayout!Q28,tblStellplatz[Stellplatz],0)),4),1)="0",RIGHT(INDEX(tblStellplatz[SAP],MATCH(PlanLayout!Q28,tblStellplatz[Stellplatz],0)),5),RIGHT(INDEX(tblStellplatz[SAP],MATCH(PlanLayout!Q28,tblStellplatz[Stellplatz],0)),4))),"?"))</f>
        <v/>
      </c>
      <c r="R28" s="4">
        <f>IF(PlanLayout!R28="","",PlanLayout!R28&amp;CHAR(10)&amp;IFERROR(IF(INDEX(tblStellplatz[SAP],MATCH(PlanLayout!R28,tblStellplatz[Stellplatz],0))="","leer",IF(LEFT(RIGHT(INDEX(tblStellplatz[SAP],MATCH(PlanLayout!R28,tblStellplatz[Stellplatz],0)),4),1)="0",RIGHT(INDEX(tblStellplatz[SAP],MATCH(PlanLayout!R28,tblStellplatz[Stellplatz],0)),5),RIGHT(INDEX(tblStellplatz[SAP],MATCH(PlanLayout!R28,tblStellplatz[Stellplatz],0)),4))),"?"))</f>
        <v/>
      </c>
      <c r="S28" s="4">
        <f>IF(PlanLayout!S28="","",PlanLayout!S28&amp;CHAR(10)&amp;IFERROR(IF(INDEX(tblStellplatz[SAP],MATCH(PlanLayout!S28,tblStellplatz[Stellplatz],0))="","leer",IF(LEFT(RIGHT(INDEX(tblStellplatz[SAP],MATCH(PlanLayout!S28,tblStellplatz[Stellplatz],0)),4),1)="0",RIGHT(INDEX(tblStellplatz[SAP],MATCH(PlanLayout!S28,tblStellplatz[Stellplatz],0)),5),RIGHT(INDEX(tblStellplatz[SAP],MATCH(PlanLayout!S28,tblStellplatz[Stellplatz],0)),4))),"?"))</f>
        <v/>
      </c>
      <c r="T28" s="4">
        <f>IF(PlanLayout!T28="","",PlanLayout!T28&amp;CHAR(10)&amp;IFERROR(IF(INDEX(tblStellplatz[SAP],MATCH(PlanLayout!T28,tblStellplatz[Stellplatz],0))="","leer",IF(LEFT(RIGHT(INDEX(tblStellplatz[SAP],MATCH(PlanLayout!T28,tblStellplatz[Stellplatz],0)),4),1)="0",RIGHT(INDEX(tblStellplatz[SAP],MATCH(PlanLayout!T28,tblStellplatz[Stellplatz],0)),5),RIGHT(INDEX(tblStellplatz[SAP],MATCH(PlanLayout!T28,tblStellplatz[Stellplatz],0)),4))),"?"))</f>
        <v/>
      </c>
      <c r="U28" s="4">
        <f>IF(PlanLayout!U28="","",PlanLayout!U28&amp;CHAR(10)&amp;IFERROR(IF(INDEX(tblStellplatz[SAP],MATCH(PlanLayout!U28,tblStellplatz[Stellplatz],0))="","leer",IF(LEFT(RIGHT(INDEX(tblStellplatz[SAP],MATCH(PlanLayout!U28,tblStellplatz[Stellplatz],0)),4),1)="0",RIGHT(INDEX(tblStellplatz[SAP],MATCH(PlanLayout!U28,tblStellplatz[Stellplatz],0)),5),RIGHT(INDEX(tblStellplatz[SAP],MATCH(PlanLayout!U28,tblStellplatz[Stellplatz],0)),4))),"?"))</f>
        <v/>
      </c>
      <c r="V28" s="4">
        <f>IF(PlanLayout!V28="","",PlanLayout!V28&amp;CHAR(10)&amp;IFERROR(IF(INDEX(tblStellplatz[SAP],MATCH(PlanLayout!V28,tblStellplatz[Stellplatz],0))="","leer",IF(LEFT(RIGHT(INDEX(tblStellplatz[SAP],MATCH(PlanLayout!V28,tblStellplatz[Stellplatz],0)),4),1)="0",RIGHT(INDEX(tblStellplatz[SAP],MATCH(PlanLayout!V28,tblStellplatz[Stellplatz],0)),5),RIGHT(INDEX(tblStellplatz[SAP],MATCH(PlanLayout!V28,tblStellplatz[Stellplatz],0)),4))),"?"))</f>
        <v/>
      </c>
      <c r="W28" s="4">
        <f>IF(PlanLayout!W28="","",PlanLayout!W28&amp;CHAR(10)&amp;IFERROR(IF(INDEX(tblStellplatz[SAP],MATCH(PlanLayout!W28,tblStellplatz[Stellplatz],0))="","leer",IF(LEFT(RIGHT(INDEX(tblStellplatz[SAP],MATCH(PlanLayout!W28,tblStellplatz[Stellplatz],0)),4),1)="0",RIGHT(INDEX(tblStellplatz[SAP],MATCH(PlanLayout!W28,tblStellplatz[Stellplatz],0)),5),RIGHT(INDEX(tblStellplatz[SAP],MATCH(PlanLayout!W28,tblStellplatz[Stellplatz],0)),4))),"?"))</f>
        <v/>
      </c>
      <c r="X28" s="4">
        <f>IF(PlanLayout!X28="","",PlanLayout!X28&amp;CHAR(10)&amp;IFERROR(IF(INDEX(tblStellplatz[SAP],MATCH(PlanLayout!X28,tblStellplatz[Stellplatz],0))="","leer",IF(LEFT(RIGHT(INDEX(tblStellplatz[SAP],MATCH(PlanLayout!X28,tblStellplatz[Stellplatz],0)),4),1)="0",RIGHT(INDEX(tblStellplatz[SAP],MATCH(PlanLayout!X28,tblStellplatz[Stellplatz],0)),5),RIGHT(INDEX(tblStellplatz[SAP],MATCH(PlanLayout!X28,tblStellplatz[Stellplatz],0)),4))),"?"))</f>
        <v/>
      </c>
      <c r="Y28" s="4">
        <f>IF(PlanLayout!Y28="","",PlanLayout!Y28&amp;CHAR(10)&amp;IFERROR(IF(INDEX(tblStellplatz[SAP],MATCH(PlanLayout!Y28,tblStellplatz[Stellplatz],0))="","leer",IF(LEFT(RIGHT(INDEX(tblStellplatz[SAP],MATCH(PlanLayout!Y28,tblStellplatz[Stellplatz],0)),4),1)="0",RIGHT(INDEX(tblStellplatz[SAP],MATCH(PlanLayout!Y28,tblStellplatz[Stellplatz],0)),5),RIGHT(INDEX(tblStellplatz[SAP],MATCH(PlanLayout!Y28,tblStellplatz[Stellplatz],0)),4))),"?"))</f>
        <v/>
      </c>
      <c r="Z28" s="4">
        <f>IF(PlanLayout!Z28="","",PlanLayout!Z28&amp;CHAR(10)&amp;IFERROR(IF(INDEX(tblStellplatz[SAP],MATCH(PlanLayout!Z28,tblStellplatz[Stellplatz],0))="","leer",IF(LEFT(RIGHT(INDEX(tblStellplatz[SAP],MATCH(PlanLayout!Z28,tblStellplatz[Stellplatz],0)),4),1)="0",RIGHT(INDEX(tblStellplatz[SAP],MATCH(PlanLayout!Z28,tblStellplatz[Stellplatz],0)),5),RIGHT(INDEX(tblStellplatz[SAP],MATCH(PlanLayout!Z28,tblStellplatz[Stellplatz],0)),4))),"?"))</f>
        <v/>
      </c>
      <c r="AA28" s="4">
        <f>IF(PlanLayout!AA28="","",PlanLayout!AA28&amp;CHAR(10)&amp;IFERROR(IF(INDEX(tblStellplatz[SAP],MATCH(PlanLayout!AA28,tblStellplatz[Stellplatz],0))="","leer",IF(LEFT(RIGHT(INDEX(tblStellplatz[SAP],MATCH(PlanLayout!AA28,tblStellplatz[Stellplatz],0)),4),1)="0",RIGHT(INDEX(tblStellplatz[SAP],MATCH(PlanLayout!AA28,tblStellplatz[Stellplatz],0)),5),RIGHT(INDEX(tblStellplatz[SAP],MATCH(PlanLayout!AA28,tblStellplatz[Stellplatz],0)),4))),"?"))</f>
        <v/>
      </c>
      <c r="AB28" s="4">
        <f>IF(PlanLayout!AB28="","",PlanLayout!AB28&amp;CHAR(10)&amp;IFERROR(IF(INDEX(tblStellplatz[SAP],MATCH(PlanLayout!AB28,tblStellplatz[Stellplatz],0))="","leer",IF(LEFT(RIGHT(INDEX(tblStellplatz[SAP],MATCH(PlanLayout!AB28,tblStellplatz[Stellplatz],0)),4),1)="0",RIGHT(INDEX(tblStellplatz[SAP],MATCH(PlanLayout!AB28,tblStellplatz[Stellplatz],0)),5),RIGHT(INDEX(tblStellplatz[SAP],MATCH(PlanLayout!AB28,tblStellplatz[Stellplatz],0)),4))),"?"))</f>
        <v/>
      </c>
      <c r="AC28" s="4">
        <f>IF(PlanLayout!AC28="","",PlanLayout!AC28&amp;CHAR(10)&amp;IFERROR(IF(INDEX(tblStellplatz[SAP],MATCH(PlanLayout!AC28,tblStellplatz[Stellplatz],0))="","leer",IF(LEFT(RIGHT(INDEX(tblStellplatz[SAP],MATCH(PlanLayout!AC28,tblStellplatz[Stellplatz],0)),4),1)="0",RIGHT(INDEX(tblStellplatz[SAP],MATCH(PlanLayout!AC28,tblStellplatz[Stellplatz],0)),5),RIGHT(INDEX(tblStellplatz[SAP],MATCH(PlanLayout!AC28,tblStellplatz[Stellplatz],0)),4))),"?"))</f>
        <v/>
      </c>
      <c r="AD28" s="4">
        <f>IF(PlanLayout!AD28="","",PlanLayout!AD28&amp;CHAR(10)&amp;IFERROR(IF(INDEX(tblStellplatz[SAP],MATCH(PlanLayout!AD28,tblStellplatz[Stellplatz],0))="","leer",IF(LEFT(RIGHT(INDEX(tblStellplatz[SAP],MATCH(PlanLayout!AD28,tblStellplatz[Stellplatz],0)),4),1)="0",RIGHT(INDEX(tblStellplatz[SAP],MATCH(PlanLayout!AD28,tblStellplatz[Stellplatz],0)),5),RIGHT(INDEX(tblStellplatz[SAP],MATCH(PlanLayout!AD28,tblStellplatz[Stellplatz],0)),4))),"?"))</f>
        <v/>
      </c>
      <c r="AE28" s="4">
        <f>IF(PlanLayout!AE28="","",PlanLayout!AE28&amp;CHAR(10)&amp;IFERROR(IF(INDEX(tblStellplatz[SAP],MATCH(PlanLayout!AE28,tblStellplatz[Stellplatz],0))="","leer",IF(LEFT(RIGHT(INDEX(tblStellplatz[SAP],MATCH(PlanLayout!AE28,tblStellplatz[Stellplatz],0)),4),1)="0",RIGHT(INDEX(tblStellplatz[SAP],MATCH(PlanLayout!AE28,tblStellplatz[Stellplatz],0)),5),RIGHT(INDEX(tblStellplatz[SAP],MATCH(PlanLayout!AE28,tblStellplatz[Stellplatz],0)),4))),"?"))</f>
        <v/>
      </c>
      <c r="AF28" s="4">
        <f>IF(PlanLayout!AF28="","",PlanLayout!AF28&amp;CHAR(10)&amp;IFERROR(IF(INDEX(tblStellplatz[SAP],MATCH(PlanLayout!AF28,tblStellplatz[Stellplatz],0))="","leer",IF(LEFT(RIGHT(INDEX(tblStellplatz[SAP],MATCH(PlanLayout!AF28,tblStellplatz[Stellplatz],0)),4),1)="0",RIGHT(INDEX(tblStellplatz[SAP],MATCH(PlanLayout!AF28,tblStellplatz[Stellplatz],0)),5),RIGHT(INDEX(tblStellplatz[SAP],MATCH(PlanLayout!AF28,tblStellplatz[Stellplatz],0)),4))),"?"))</f>
        <v/>
      </c>
      <c r="AG28" s="4">
        <f>IF(PlanLayout!AG28="","",PlanLayout!AG28&amp;CHAR(10)&amp;IFERROR(IF(INDEX(tblStellplatz[SAP],MATCH(PlanLayout!AG28,tblStellplatz[Stellplatz],0))="","leer",IF(LEFT(RIGHT(INDEX(tblStellplatz[SAP],MATCH(PlanLayout!AG28,tblStellplatz[Stellplatz],0)),4),1)="0",RIGHT(INDEX(tblStellplatz[SAP],MATCH(PlanLayout!AG28,tblStellplatz[Stellplatz],0)),5),RIGHT(INDEX(tblStellplatz[SAP],MATCH(PlanLayout!AG28,tblStellplatz[Stellplatz],0)),4))),"?"))</f>
        <v/>
      </c>
      <c r="AH28" s="4">
        <f>IF(PlanLayout!AH28="","",PlanLayout!AH28&amp;CHAR(10)&amp;IFERROR(IF(INDEX(tblStellplatz[SAP],MATCH(PlanLayout!AH28,tblStellplatz[Stellplatz],0))="","leer",IF(LEFT(RIGHT(INDEX(tblStellplatz[SAP],MATCH(PlanLayout!AH28,tblStellplatz[Stellplatz],0)),4),1)="0",RIGHT(INDEX(tblStellplatz[SAP],MATCH(PlanLayout!AH28,tblStellplatz[Stellplatz],0)),5),RIGHT(INDEX(tblStellplatz[SAP],MATCH(PlanLayout!AH28,tblStellplatz[Stellplatz],0)),4))),"?"))</f>
        <v/>
      </c>
      <c r="AI28" s="4">
        <f>IF(PlanLayout!AI28="","",PlanLayout!AI28&amp;CHAR(10)&amp;IFERROR(IF(INDEX(tblStellplatz[SAP],MATCH(PlanLayout!AI28,tblStellplatz[Stellplatz],0))="","leer",IF(LEFT(RIGHT(INDEX(tblStellplatz[SAP],MATCH(PlanLayout!AI28,tblStellplatz[Stellplatz],0)),4),1)="0",RIGHT(INDEX(tblStellplatz[SAP],MATCH(PlanLayout!AI28,tblStellplatz[Stellplatz],0)),5),RIGHT(INDEX(tblStellplatz[SAP],MATCH(PlanLayout!AI28,tblStellplatz[Stellplatz],0)),4))),"?"))</f>
        <v/>
      </c>
      <c r="AJ28" s="4">
        <f>IF(PlanLayout!AJ28="","",PlanLayout!AJ28&amp;CHAR(10)&amp;IFERROR(IF(INDEX(tblStellplatz[SAP],MATCH(PlanLayout!AJ28,tblStellplatz[Stellplatz],0))="","leer",IF(LEFT(RIGHT(INDEX(tblStellplatz[SAP],MATCH(PlanLayout!AJ28,tblStellplatz[Stellplatz],0)),4),1)="0",RIGHT(INDEX(tblStellplatz[SAP],MATCH(PlanLayout!AJ28,tblStellplatz[Stellplatz],0)),5),RIGHT(INDEX(tblStellplatz[SAP],MATCH(PlanLayout!AJ28,tblStellplatz[Stellplatz],0)),4))),"?"))</f>
        <v/>
      </c>
      <c r="AK28" s="4">
        <f>IF(PlanLayout!AK28="","",PlanLayout!AK28&amp;CHAR(10)&amp;IFERROR(IF(INDEX(tblStellplatz[SAP],MATCH(PlanLayout!AK28,tblStellplatz[Stellplatz],0))="","leer",IF(LEFT(RIGHT(INDEX(tblStellplatz[SAP],MATCH(PlanLayout!AK28,tblStellplatz[Stellplatz],0)),4),1)="0",RIGHT(INDEX(tblStellplatz[SAP],MATCH(PlanLayout!AK28,tblStellplatz[Stellplatz],0)),5),RIGHT(INDEX(tblStellplatz[SAP],MATCH(PlanLayout!AK28,tblStellplatz[Stellplatz],0)),4))),"?"))</f>
        <v/>
      </c>
      <c r="AL28" s="4">
        <f>IF(PlanLayout!AL28="","",PlanLayout!AL28&amp;CHAR(10)&amp;IFERROR(IF(INDEX(tblStellplatz[SAP],MATCH(PlanLayout!AL28,tblStellplatz[Stellplatz],0))="","leer",IF(LEFT(RIGHT(INDEX(tblStellplatz[SAP],MATCH(PlanLayout!AL28,tblStellplatz[Stellplatz],0)),4),1)="0",RIGHT(INDEX(tblStellplatz[SAP],MATCH(PlanLayout!AL28,tblStellplatz[Stellplatz],0)),5),RIGHT(INDEX(tblStellplatz[SAP],MATCH(PlanLayout!AL28,tblStellplatz[Stellplatz],0)),4))),"?"))</f>
        <v/>
      </c>
      <c r="AM28" s="4">
        <f>IF(PlanLayout!AM28="","",PlanLayout!AM28&amp;CHAR(10)&amp;IFERROR(IF(INDEX(tblStellplatz[SAP],MATCH(PlanLayout!AM28,tblStellplatz[Stellplatz],0))="","leer",IF(LEFT(RIGHT(INDEX(tblStellplatz[SAP],MATCH(PlanLayout!AM28,tblStellplatz[Stellplatz],0)),4),1)="0",RIGHT(INDEX(tblStellplatz[SAP],MATCH(PlanLayout!AM28,tblStellplatz[Stellplatz],0)),5),RIGHT(INDEX(tblStellplatz[SAP],MATCH(PlanLayout!AM28,tblStellplatz[Stellplatz],0)),4))),"?"))</f>
        <v/>
      </c>
      <c r="AN28" s="4">
        <f>IF(PlanLayout!AN28="","",PlanLayout!AN28&amp;CHAR(10)&amp;IFERROR(IF(INDEX(tblStellplatz[SAP],MATCH(PlanLayout!AN28,tblStellplatz[Stellplatz],0))="","leer",IF(LEFT(RIGHT(INDEX(tblStellplatz[SAP],MATCH(PlanLayout!AN28,tblStellplatz[Stellplatz],0)),4),1)="0",RIGHT(INDEX(tblStellplatz[SAP],MATCH(PlanLayout!AN28,tblStellplatz[Stellplatz],0)),5),RIGHT(INDEX(tblStellplatz[SAP],MATCH(PlanLayout!AN28,tblStellplatz[Stellplatz],0)),4))),"?"))</f>
        <v/>
      </c>
      <c r="AO28" s="4">
        <f>IF(PlanLayout!AO28="","",PlanLayout!AO28&amp;CHAR(10)&amp;IFERROR(IF(INDEX(tblStellplatz[SAP],MATCH(PlanLayout!AO28,tblStellplatz[Stellplatz],0))="","leer",IF(LEFT(RIGHT(INDEX(tblStellplatz[SAP],MATCH(PlanLayout!AO28,tblStellplatz[Stellplatz],0)),4),1)="0",RIGHT(INDEX(tblStellplatz[SAP],MATCH(PlanLayout!AO28,tblStellplatz[Stellplatz],0)),5),RIGHT(INDEX(tblStellplatz[SAP],MATCH(PlanLayout!AO28,tblStellplatz[Stellplatz],0)),4))),"?"))</f>
        <v/>
      </c>
    </row>
    <row r="29" ht="30" customHeight="1">
      <c r="B29" s="4">
        <f>IF(PlanLayout!B29="","",PlanLayout!B29&amp;CHAR(10)&amp;IFERROR(IF(INDEX(tblStellplatz[SAP],MATCH(PlanLayout!B29,tblStellplatz[Stellplatz],0))="","leer",IF(LEFT(RIGHT(INDEX(tblStellplatz[SAP],MATCH(PlanLayout!B29,tblStellplatz[Stellplatz],0)),4),1)="0",RIGHT(INDEX(tblStellplatz[SAP],MATCH(PlanLayout!B29,tblStellplatz[Stellplatz],0)),5),RIGHT(INDEX(tblStellplatz[SAP],MATCH(PlanLayout!B29,tblStellplatz[Stellplatz],0)),4))),"?"))</f>
        <v/>
      </c>
      <c r="C29" s="4">
        <f>IF(PlanLayout!C29="","",PlanLayout!C29&amp;CHAR(10)&amp;IFERROR(IF(INDEX(tblStellplatz[SAP],MATCH(PlanLayout!C29,tblStellplatz[Stellplatz],0))="","leer",IF(LEFT(RIGHT(INDEX(tblStellplatz[SAP],MATCH(PlanLayout!C29,tblStellplatz[Stellplatz],0)),4),1)="0",RIGHT(INDEX(tblStellplatz[SAP],MATCH(PlanLayout!C29,tblStellplatz[Stellplatz],0)),5),RIGHT(INDEX(tblStellplatz[SAP],MATCH(PlanLayout!C29,tblStellplatz[Stellplatz],0)),4))),"?"))</f>
        <v/>
      </c>
      <c r="D29" s="4">
        <f>IF(PlanLayout!D29="","",PlanLayout!D29&amp;CHAR(10)&amp;IFERROR(IF(INDEX(tblStellplatz[SAP],MATCH(PlanLayout!D29,tblStellplatz[Stellplatz],0))="","leer",IF(LEFT(RIGHT(INDEX(tblStellplatz[SAP],MATCH(PlanLayout!D29,tblStellplatz[Stellplatz],0)),4),1)="0",RIGHT(INDEX(tblStellplatz[SAP],MATCH(PlanLayout!D29,tblStellplatz[Stellplatz],0)),5),RIGHT(INDEX(tblStellplatz[SAP],MATCH(PlanLayout!D29,tblStellplatz[Stellplatz],0)),4))),"?"))</f>
        <v/>
      </c>
      <c r="E29" s="4">
        <f>IF(PlanLayout!E29="","",PlanLayout!E29&amp;CHAR(10)&amp;IFERROR(IF(INDEX(tblStellplatz[SAP],MATCH(PlanLayout!E29,tblStellplatz[Stellplatz],0))="","leer",IF(LEFT(RIGHT(INDEX(tblStellplatz[SAP],MATCH(PlanLayout!E29,tblStellplatz[Stellplatz],0)),4),1)="0",RIGHT(INDEX(tblStellplatz[SAP],MATCH(PlanLayout!E29,tblStellplatz[Stellplatz],0)),5),RIGHT(INDEX(tblStellplatz[SAP],MATCH(PlanLayout!E29,tblStellplatz[Stellplatz],0)),4))),"?"))</f>
        <v/>
      </c>
      <c r="F29" s="4">
        <f>IF(PlanLayout!F29="","",PlanLayout!F29&amp;CHAR(10)&amp;IFERROR(IF(INDEX(tblStellplatz[SAP],MATCH(PlanLayout!F29,tblStellplatz[Stellplatz],0))="","leer",IF(LEFT(RIGHT(INDEX(tblStellplatz[SAP],MATCH(PlanLayout!F29,tblStellplatz[Stellplatz],0)),4),1)="0",RIGHT(INDEX(tblStellplatz[SAP],MATCH(PlanLayout!F29,tblStellplatz[Stellplatz],0)),5),RIGHT(INDEX(tblStellplatz[SAP],MATCH(PlanLayout!F29,tblStellplatz[Stellplatz],0)),4))),"?"))</f>
        <v/>
      </c>
      <c r="G29" s="4">
        <f>IF(PlanLayout!G29="","",PlanLayout!G29&amp;CHAR(10)&amp;IFERROR(IF(INDEX(tblStellplatz[SAP],MATCH(PlanLayout!G29,tblStellplatz[Stellplatz],0))="","leer",IF(LEFT(RIGHT(INDEX(tblStellplatz[SAP],MATCH(PlanLayout!G29,tblStellplatz[Stellplatz],0)),4),1)="0",RIGHT(INDEX(tblStellplatz[SAP],MATCH(PlanLayout!G29,tblStellplatz[Stellplatz],0)),5),RIGHT(INDEX(tblStellplatz[SAP],MATCH(PlanLayout!G29,tblStellplatz[Stellplatz],0)),4))),"?"))</f>
        <v/>
      </c>
      <c r="H29" s="4">
        <f>IF(PlanLayout!H29="","",PlanLayout!H29&amp;CHAR(10)&amp;IFERROR(IF(INDEX(tblStellplatz[SAP],MATCH(PlanLayout!H29,tblStellplatz[Stellplatz],0))="","leer",IF(LEFT(RIGHT(INDEX(tblStellplatz[SAP],MATCH(PlanLayout!H29,tblStellplatz[Stellplatz],0)),4),1)="0",RIGHT(INDEX(tblStellplatz[SAP],MATCH(PlanLayout!H29,tblStellplatz[Stellplatz],0)),5),RIGHT(INDEX(tblStellplatz[SAP],MATCH(PlanLayout!H29,tblStellplatz[Stellplatz],0)),4))),"?"))</f>
        <v/>
      </c>
      <c r="I29" s="4">
        <f>IF(PlanLayout!I29="","",PlanLayout!I29&amp;CHAR(10)&amp;IFERROR(IF(INDEX(tblStellplatz[SAP],MATCH(PlanLayout!I29,tblStellplatz[Stellplatz],0))="","leer",IF(LEFT(RIGHT(INDEX(tblStellplatz[SAP],MATCH(PlanLayout!I29,tblStellplatz[Stellplatz],0)),4),1)="0",RIGHT(INDEX(tblStellplatz[SAP],MATCH(PlanLayout!I29,tblStellplatz[Stellplatz],0)),5),RIGHT(INDEX(tblStellplatz[SAP],MATCH(PlanLayout!I29,tblStellplatz[Stellplatz],0)),4))),"?"))</f>
        <v/>
      </c>
      <c r="J29" s="4">
        <f>IF(PlanLayout!J29="","",PlanLayout!J29&amp;CHAR(10)&amp;IFERROR(IF(INDEX(tblStellplatz[SAP],MATCH(PlanLayout!J29,tblStellplatz[Stellplatz],0))="","leer",IF(LEFT(RIGHT(INDEX(tblStellplatz[SAP],MATCH(PlanLayout!J29,tblStellplatz[Stellplatz],0)),4),1)="0",RIGHT(INDEX(tblStellplatz[SAP],MATCH(PlanLayout!J29,tblStellplatz[Stellplatz],0)),5),RIGHT(INDEX(tblStellplatz[SAP],MATCH(PlanLayout!J29,tblStellplatz[Stellplatz],0)),4))),"?"))</f>
        <v/>
      </c>
      <c r="K29" s="4">
        <f>IF(PlanLayout!K29="","",PlanLayout!K29&amp;CHAR(10)&amp;IFERROR(IF(INDEX(tblStellplatz[SAP],MATCH(PlanLayout!K29,tblStellplatz[Stellplatz],0))="","leer",IF(LEFT(RIGHT(INDEX(tblStellplatz[SAP],MATCH(PlanLayout!K29,tblStellplatz[Stellplatz],0)),4),1)="0",RIGHT(INDEX(tblStellplatz[SAP],MATCH(PlanLayout!K29,tblStellplatz[Stellplatz],0)),5),RIGHT(INDEX(tblStellplatz[SAP],MATCH(PlanLayout!K29,tblStellplatz[Stellplatz],0)),4))),"?"))</f>
        <v/>
      </c>
      <c r="L29" s="4">
        <f>IF(PlanLayout!L29="","",PlanLayout!L29&amp;CHAR(10)&amp;IFERROR(IF(INDEX(tblStellplatz[SAP],MATCH(PlanLayout!L29,tblStellplatz[Stellplatz],0))="","leer",IF(LEFT(RIGHT(INDEX(tblStellplatz[SAP],MATCH(PlanLayout!L29,tblStellplatz[Stellplatz],0)),4),1)="0",RIGHT(INDEX(tblStellplatz[SAP],MATCH(PlanLayout!L29,tblStellplatz[Stellplatz],0)),5),RIGHT(INDEX(tblStellplatz[SAP],MATCH(PlanLayout!L29,tblStellplatz[Stellplatz],0)),4))),"?"))</f>
        <v/>
      </c>
      <c r="M29" s="4">
        <f>IF(PlanLayout!M29="","",PlanLayout!M29&amp;CHAR(10)&amp;IFERROR(IF(INDEX(tblStellplatz[SAP],MATCH(PlanLayout!M29,tblStellplatz[Stellplatz],0))="","leer",IF(LEFT(RIGHT(INDEX(tblStellplatz[SAP],MATCH(PlanLayout!M29,tblStellplatz[Stellplatz],0)),4),1)="0",RIGHT(INDEX(tblStellplatz[SAP],MATCH(PlanLayout!M29,tblStellplatz[Stellplatz],0)),5),RIGHT(INDEX(tblStellplatz[SAP],MATCH(PlanLayout!M29,tblStellplatz[Stellplatz],0)),4))),"?"))</f>
        <v/>
      </c>
      <c r="N29" s="4">
        <f>IF(PlanLayout!N29="","",PlanLayout!N29&amp;CHAR(10)&amp;IFERROR(IF(INDEX(tblStellplatz[SAP],MATCH(PlanLayout!N29,tblStellplatz[Stellplatz],0))="","leer",IF(LEFT(RIGHT(INDEX(tblStellplatz[SAP],MATCH(PlanLayout!N29,tblStellplatz[Stellplatz],0)),4),1)="0",RIGHT(INDEX(tblStellplatz[SAP],MATCH(PlanLayout!N29,tblStellplatz[Stellplatz],0)),5),RIGHT(INDEX(tblStellplatz[SAP],MATCH(PlanLayout!N29,tblStellplatz[Stellplatz],0)),4))),"?"))</f>
        <v/>
      </c>
      <c r="O29" s="4">
        <f>IF(PlanLayout!O29="","",PlanLayout!O29&amp;CHAR(10)&amp;IFERROR(IF(INDEX(tblStellplatz[SAP],MATCH(PlanLayout!O29,tblStellplatz[Stellplatz],0))="","leer",IF(LEFT(RIGHT(INDEX(tblStellplatz[SAP],MATCH(PlanLayout!O29,tblStellplatz[Stellplatz],0)),4),1)="0",RIGHT(INDEX(tblStellplatz[SAP],MATCH(PlanLayout!O29,tblStellplatz[Stellplatz],0)),5),RIGHT(INDEX(tblStellplatz[SAP],MATCH(PlanLayout!O29,tblStellplatz[Stellplatz],0)),4))),"?"))</f>
        <v/>
      </c>
      <c r="P29" s="4">
        <f>IF(PlanLayout!P29="","",PlanLayout!P29&amp;CHAR(10)&amp;IFERROR(IF(INDEX(tblStellplatz[SAP],MATCH(PlanLayout!P29,tblStellplatz[Stellplatz],0))="","leer",IF(LEFT(RIGHT(INDEX(tblStellplatz[SAP],MATCH(PlanLayout!P29,tblStellplatz[Stellplatz],0)),4),1)="0",RIGHT(INDEX(tblStellplatz[SAP],MATCH(PlanLayout!P29,tblStellplatz[Stellplatz],0)),5),RIGHT(INDEX(tblStellplatz[SAP],MATCH(PlanLayout!P29,tblStellplatz[Stellplatz],0)),4))),"?"))</f>
        <v/>
      </c>
      <c r="Q29" s="4">
        <f>IF(PlanLayout!Q29="","",PlanLayout!Q29&amp;CHAR(10)&amp;IFERROR(IF(INDEX(tblStellplatz[SAP],MATCH(PlanLayout!Q29,tblStellplatz[Stellplatz],0))="","leer",IF(LEFT(RIGHT(INDEX(tblStellplatz[SAP],MATCH(PlanLayout!Q29,tblStellplatz[Stellplatz],0)),4),1)="0",RIGHT(INDEX(tblStellplatz[SAP],MATCH(PlanLayout!Q29,tblStellplatz[Stellplatz],0)),5),RIGHT(INDEX(tblStellplatz[SAP],MATCH(PlanLayout!Q29,tblStellplatz[Stellplatz],0)),4))),"?"))</f>
        <v/>
      </c>
      <c r="R29" s="4">
        <f>IF(PlanLayout!R29="","",PlanLayout!R29&amp;CHAR(10)&amp;IFERROR(IF(INDEX(tblStellplatz[SAP],MATCH(PlanLayout!R29,tblStellplatz[Stellplatz],0))="","leer",IF(LEFT(RIGHT(INDEX(tblStellplatz[SAP],MATCH(PlanLayout!R29,tblStellplatz[Stellplatz],0)),4),1)="0",RIGHT(INDEX(tblStellplatz[SAP],MATCH(PlanLayout!R29,tblStellplatz[Stellplatz],0)),5),RIGHT(INDEX(tblStellplatz[SAP],MATCH(PlanLayout!R29,tblStellplatz[Stellplatz],0)),4))),"?"))</f>
        <v/>
      </c>
      <c r="S29" s="4">
        <f>IF(PlanLayout!S29="","",PlanLayout!S29&amp;CHAR(10)&amp;IFERROR(IF(INDEX(tblStellplatz[SAP],MATCH(PlanLayout!S29,tblStellplatz[Stellplatz],0))="","leer",IF(LEFT(RIGHT(INDEX(tblStellplatz[SAP],MATCH(PlanLayout!S29,tblStellplatz[Stellplatz],0)),4),1)="0",RIGHT(INDEX(tblStellplatz[SAP],MATCH(PlanLayout!S29,tblStellplatz[Stellplatz],0)),5),RIGHT(INDEX(tblStellplatz[SAP],MATCH(PlanLayout!S29,tblStellplatz[Stellplatz],0)),4))),"?"))</f>
        <v/>
      </c>
      <c r="T29" s="4">
        <f>IF(PlanLayout!T29="","",PlanLayout!T29&amp;CHAR(10)&amp;IFERROR(IF(INDEX(tblStellplatz[SAP],MATCH(PlanLayout!T29,tblStellplatz[Stellplatz],0))="","leer",IF(LEFT(RIGHT(INDEX(tblStellplatz[SAP],MATCH(PlanLayout!T29,tblStellplatz[Stellplatz],0)),4),1)="0",RIGHT(INDEX(tblStellplatz[SAP],MATCH(PlanLayout!T29,tblStellplatz[Stellplatz],0)),5),RIGHT(INDEX(tblStellplatz[SAP],MATCH(PlanLayout!T29,tblStellplatz[Stellplatz],0)),4))),"?"))</f>
        <v/>
      </c>
      <c r="U29" s="4">
        <f>IF(PlanLayout!U29="","",PlanLayout!U29&amp;CHAR(10)&amp;IFERROR(IF(INDEX(tblStellplatz[SAP],MATCH(PlanLayout!U29,tblStellplatz[Stellplatz],0))="","leer",IF(LEFT(RIGHT(INDEX(tblStellplatz[SAP],MATCH(PlanLayout!U29,tblStellplatz[Stellplatz],0)),4),1)="0",RIGHT(INDEX(tblStellplatz[SAP],MATCH(PlanLayout!U29,tblStellplatz[Stellplatz],0)),5),RIGHT(INDEX(tblStellplatz[SAP],MATCH(PlanLayout!U29,tblStellplatz[Stellplatz],0)),4))),"?"))</f>
        <v/>
      </c>
      <c r="V29" s="4">
        <f>IF(PlanLayout!V29="","",PlanLayout!V29&amp;CHAR(10)&amp;IFERROR(IF(INDEX(tblStellplatz[SAP],MATCH(PlanLayout!V29,tblStellplatz[Stellplatz],0))="","leer",IF(LEFT(RIGHT(INDEX(tblStellplatz[SAP],MATCH(PlanLayout!V29,tblStellplatz[Stellplatz],0)),4),1)="0",RIGHT(INDEX(tblStellplatz[SAP],MATCH(PlanLayout!V29,tblStellplatz[Stellplatz],0)),5),RIGHT(INDEX(tblStellplatz[SAP],MATCH(PlanLayout!V29,tblStellplatz[Stellplatz],0)),4))),"?"))</f>
        <v/>
      </c>
      <c r="W29" s="4">
        <f>IF(PlanLayout!W29="","",PlanLayout!W29&amp;CHAR(10)&amp;IFERROR(IF(INDEX(tblStellplatz[SAP],MATCH(PlanLayout!W29,tblStellplatz[Stellplatz],0))="","leer",IF(LEFT(RIGHT(INDEX(tblStellplatz[SAP],MATCH(PlanLayout!W29,tblStellplatz[Stellplatz],0)),4),1)="0",RIGHT(INDEX(tblStellplatz[SAP],MATCH(PlanLayout!W29,tblStellplatz[Stellplatz],0)),5),RIGHT(INDEX(tblStellplatz[SAP],MATCH(PlanLayout!W29,tblStellplatz[Stellplatz],0)),4))),"?"))</f>
        <v/>
      </c>
      <c r="X29" s="4">
        <f>IF(PlanLayout!X29="","",PlanLayout!X29&amp;CHAR(10)&amp;IFERROR(IF(INDEX(tblStellplatz[SAP],MATCH(PlanLayout!X29,tblStellplatz[Stellplatz],0))="","leer",IF(LEFT(RIGHT(INDEX(tblStellplatz[SAP],MATCH(PlanLayout!X29,tblStellplatz[Stellplatz],0)),4),1)="0",RIGHT(INDEX(tblStellplatz[SAP],MATCH(PlanLayout!X29,tblStellplatz[Stellplatz],0)),5),RIGHT(INDEX(tblStellplatz[SAP],MATCH(PlanLayout!X29,tblStellplatz[Stellplatz],0)),4))),"?"))</f>
        <v/>
      </c>
      <c r="Y29" s="4">
        <f>IF(PlanLayout!Y29="","",PlanLayout!Y29&amp;CHAR(10)&amp;IFERROR(IF(INDEX(tblStellplatz[SAP],MATCH(PlanLayout!Y29,tblStellplatz[Stellplatz],0))="","leer",IF(LEFT(RIGHT(INDEX(tblStellplatz[SAP],MATCH(PlanLayout!Y29,tblStellplatz[Stellplatz],0)),4),1)="0",RIGHT(INDEX(tblStellplatz[SAP],MATCH(PlanLayout!Y29,tblStellplatz[Stellplatz],0)),5),RIGHT(INDEX(tblStellplatz[SAP],MATCH(PlanLayout!Y29,tblStellplatz[Stellplatz],0)),4))),"?"))</f>
        <v/>
      </c>
      <c r="Z29" s="4">
        <f>IF(PlanLayout!Z29="","",PlanLayout!Z29&amp;CHAR(10)&amp;IFERROR(IF(INDEX(tblStellplatz[SAP],MATCH(PlanLayout!Z29,tblStellplatz[Stellplatz],0))="","leer",IF(LEFT(RIGHT(INDEX(tblStellplatz[SAP],MATCH(PlanLayout!Z29,tblStellplatz[Stellplatz],0)),4),1)="0",RIGHT(INDEX(tblStellplatz[SAP],MATCH(PlanLayout!Z29,tblStellplatz[Stellplatz],0)),5),RIGHT(INDEX(tblStellplatz[SAP],MATCH(PlanLayout!Z29,tblStellplatz[Stellplatz],0)),4))),"?"))</f>
        <v/>
      </c>
      <c r="AA29" s="4">
        <f>IF(PlanLayout!AA29="","",PlanLayout!AA29&amp;CHAR(10)&amp;IFERROR(IF(INDEX(tblStellplatz[SAP],MATCH(PlanLayout!AA29,tblStellplatz[Stellplatz],0))="","leer",IF(LEFT(RIGHT(INDEX(tblStellplatz[SAP],MATCH(PlanLayout!AA29,tblStellplatz[Stellplatz],0)),4),1)="0",RIGHT(INDEX(tblStellplatz[SAP],MATCH(PlanLayout!AA29,tblStellplatz[Stellplatz],0)),5),RIGHT(INDEX(tblStellplatz[SAP],MATCH(PlanLayout!AA29,tblStellplatz[Stellplatz],0)),4))),"?"))</f>
        <v/>
      </c>
      <c r="AB29" s="4">
        <f>IF(PlanLayout!AB29="","",PlanLayout!AB29&amp;CHAR(10)&amp;IFERROR(IF(INDEX(tblStellplatz[SAP],MATCH(PlanLayout!AB29,tblStellplatz[Stellplatz],0))="","leer",IF(LEFT(RIGHT(INDEX(tblStellplatz[SAP],MATCH(PlanLayout!AB29,tblStellplatz[Stellplatz],0)),4),1)="0",RIGHT(INDEX(tblStellplatz[SAP],MATCH(PlanLayout!AB29,tblStellplatz[Stellplatz],0)),5),RIGHT(INDEX(tblStellplatz[SAP],MATCH(PlanLayout!AB29,tblStellplatz[Stellplatz],0)),4))),"?"))</f>
        <v/>
      </c>
      <c r="AC29" s="4">
        <f>IF(PlanLayout!AC29="","",PlanLayout!AC29&amp;CHAR(10)&amp;IFERROR(IF(INDEX(tblStellplatz[SAP],MATCH(PlanLayout!AC29,tblStellplatz[Stellplatz],0))="","leer",IF(LEFT(RIGHT(INDEX(tblStellplatz[SAP],MATCH(PlanLayout!AC29,tblStellplatz[Stellplatz],0)),4),1)="0",RIGHT(INDEX(tblStellplatz[SAP],MATCH(PlanLayout!AC29,tblStellplatz[Stellplatz],0)),5),RIGHT(INDEX(tblStellplatz[SAP],MATCH(PlanLayout!AC29,tblStellplatz[Stellplatz],0)),4))),"?"))</f>
        <v/>
      </c>
      <c r="AD29" s="4">
        <f>IF(PlanLayout!AD29="","",PlanLayout!AD29&amp;CHAR(10)&amp;IFERROR(IF(INDEX(tblStellplatz[SAP],MATCH(PlanLayout!AD29,tblStellplatz[Stellplatz],0))="","leer",IF(LEFT(RIGHT(INDEX(tblStellplatz[SAP],MATCH(PlanLayout!AD29,tblStellplatz[Stellplatz],0)),4),1)="0",RIGHT(INDEX(tblStellplatz[SAP],MATCH(PlanLayout!AD29,tblStellplatz[Stellplatz],0)),5),RIGHT(INDEX(tblStellplatz[SAP],MATCH(PlanLayout!AD29,tblStellplatz[Stellplatz],0)),4))),"?"))</f>
        <v/>
      </c>
      <c r="AE29" s="4">
        <f>IF(PlanLayout!AE29="","",PlanLayout!AE29&amp;CHAR(10)&amp;IFERROR(IF(INDEX(tblStellplatz[SAP],MATCH(PlanLayout!AE29,tblStellplatz[Stellplatz],0))="","leer",IF(LEFT(RIGHT(INDEX(tblStellplatz[SAP],MATCH(PlanLayout!AE29,tblStellplatz[Stellplatz],0)),4),1)="0",RIGHT(INDEX(tblStellplatz[SAP],MATCH(PlanLayout!AE29,tblStellplatz[Stellplatz],0)),5),RIGHT(INDEX(tblStellplatz[SAP],MATCH(PlanLayout!AE29,tblStellplatz[Stellplatz],0)),4))),"?"))</f>
        <v/>
      </c>
      <c r="AF29" s="4">
        <f>IF(PlanLayout!AF29="","",PlanLayout!AF29&amp;CHAR(10)&amp;IFERROR(IF(INDEX(tblStellplatz[SAP],MATCH(PlanLayout!AF29,tblStellplatz[Stellplatz],0))="","leer",IF(LEFT(RIGHT(INDEX(tblStellplatz[SAP],MATCH(PlanLayout!AF29,tblStellplatz[Stellplatz],0)),4),1)="0",RIGHT(INDEX(tblStellplatz[SAP],MATCH(PlanLayout!AF29,tblStellplatz[Stellplatz],0)),5),RIGHT(INDEX(tblStellplatz[SAP],MATCH(PlanLayout!AF29,tblStellplatz[Stellplatz],0)),4))),"?"))</f>
        <v/>
      </c>
      <c r="AG29" s="4">
        <f>IF(PlanLayout!AG29="","",PlanLayout!AG29&amp;CHAR(10)&amp;IFERROR(IF(INDEX(tblStellplatz[SAP],MATCH(PlanLayout!AG29,tblStellplatz[Stellplatz],0))="","leer",IF(LEFT(RIGHT(INDEX(tblStellplatz[SAP],MATCH(PlanLayout!AG29,tblStellplatz[Stellplatz],0)),4),1)="0",RIGHT(INDEX(tblStellplatz[SAP],MATCH(PlanLayout!AG29,tblStellplatz[Stellplatz],0)),5),RIGHT(INDEX(tblStellplatz[SAP],MATCH(PlanLayout!AG29,tblStellplatz[Stellplatz],0)),4))),"?"))</f>
        <v/>
      </c>
      <c r="AH29" s="4">
        <f>IF(PlanLayout!AH29="","",PlanLayout!AH29&amp;CHAR(10)&amp;IFERROR(IF(INDEX(tblStellplatz[SAP],MATCH(PlanLayout!AH29,tblStellplatz[Stellplatz],0))="","leer",IF(LEFT(RIGHT(INDEX(tblStellplatz[SAP],MATCH(PlanLayout!AH29,tblStellplatz[Stellplatz],0)),4),1)="0",RIGHT(INDEX(tblStellplatz[SAP],MATCH(PlanLayout!AH29,tblStellplatz[Stellplatz],0)),5),RIGHT(INDEX(tblStellplatz[SAP],MATCH(PlanLayout!AH29,tblStellplatz[Stellplatz],0)),4))),"?"))</f>
        <v/>
      </c>
      <c r="AI29" s="4">
        <f>IF(PlanLayout!AI29="","",PlanLayout!AI29&amp;CHAR(10)&amp;IFERROR(IF(INDEX(tblStellplatz[SAP],MATCH(PlanLayout!AI29,tblStellplatz[Stellplatz],0))="","leer",IF(LEFT(RIGHT(INDEX(tblStellplatz[SAP],MATCH(PlanLayout!AI29,tblStellplatz[Stellplatz],0)),4),1)="0",RIGHT(INDEX(tblStellplatz[SAP],MATCH(PlanLayout!AI29,tblStellplatz[Stellplatz],0)),5),RIGHT(INDEX(tblStellplatz[SAP],MATCH(PlanLayout!AI29,tblStellplatz[Stellplatz],0)),4))),"?"))</f>
        <v/>
      </c>
      <c r="AJ29" s="4">
        <f>IF(PlanLayout!AJ29="","",PlanLayout!AJ29&amp;CHAR(10)&amp;IFERROR(IF(INDEX(tblStellplatz[SAP],MATCH(PlanLayout!AJ29,tblStellplatz[Stellplatz],0))="","leer",IF(LEFT(RIGHT(INDEX(tblStellplatz[SAP],MATCH(PlanLayout!AJ29,tblStellplatz[Stellplatz],0)),4),1)="0",RIGHT(INDEX(tblStellplatz[SAP],MATCH(PlanLayout!AJ29,tblStellplatz[Stellplatz],0)),5),RIGHT(INDEX(tblStellplatz[SAP],MATCH(PlanLayout!AJ29,tblStellplatz[Stellplatz],0)),4))),"?"))</f>
        <v/>
      </c>
      <c r="AK29" s="4">
        <f>IF(PlanLayout!AK29="","",PlanLayout!AK29&amp;CHAR(10)&amp;IFERROR(IF(INDEX(tblStellplatz[SAP],MATCH(PlanLayout!AK29,tblStellplatz[Stellplatz],0))="","leer",IF(LEFT(RIGHT(INDEX(tblStellplatz[SAP],MATCH(PlanLayout!AK29,tblStellplatz[Stellplatz],0)),4),1)="0",RIGHT(INDEX(tblStellplatz[SAP],MATCH(PlanLayout!AK29,tblStellplatz[Stellplatz],0)),5),RIGHT(INDEX(tblStellplatz[SAP],MATCH(PlanLayout!AK29,tblStellplatz[Stellplatz],0)),4))),"?"))</f>
        <v/>
      </c>
      <c r="AL29" s="4">
        <f>IF(PlanLayout!AL29="","",PlanLayout!AL29&amp;CHAR(10)&amp;IFERROR(IF(INDEX(tblStellplatz[SAP],MATCH(PlanLayout!AL29,tblStellplatz[Stellplatz],0))="","leer",IF(LEFT(RIGHT(INDEX(tblStellplatz[SAP],MATCH(PlanLayout!AL29,tblStellplatz[Stellplatz],0)),4),1)="0",RIGHT(INDEX(tblStellplatz[SAP],MATCH(PlanLayout!AL29,tblStellplatz[Stellplatz],0)),5),RIGHT(INDEX(tblStellplatz[SAP],MATCH(PlanLayout!AL29,tblStellplatz[Stellplatz],0)),4))),"?"))</f>
        <v/>
      </c>
      <c r="AM29" s="4">
        <f>IF(PlanLayout!AM29="","",PlanLayout!AM29&amp;CHAR(10)&amp;IFERROR(IF(INDEX(tblStellplatz[SAP],MATCH(PlanLayout!AM29,tblStellplatz[Stellplatz],0))="","leer",IF(LEFT(RIGHT(INDEX(tblStellplatz[SAP],MATCH(PlanLayout!AM29,tblStellplatz[Stellplatz],0)),4),1)="0",RIGHT(INDEX(tblStellplatz[SAP],MATCH(PlanLayout!AM29,tblStellplatz[Stellplatz],0)),5),RIGHT(INDEX(tblStellplatz[SAP],MATCH(PlanLayout!AM29,tblStellplatz[Stellplatz],0)),4))),"?"))</f>
        <v/>
      </c>
      <c r="AN29" s="4">
        <f>IF(PlanLayout!AN29="","",PlanLayout!AN29&amp;CHAR(10)&amp;IFERROR(IF(INDEX(tblStellplatz[SAP],MATCH(PlanLayout!AN29,tblStellplatz[Stellplatz],0))="","leer",IF(LEFT(RIGHT(INDEX(tblStellplatz[SAP],MATCH(PlanLayout!AN29,tblStellplatz[Stellplatz],0)),4),1)="0",RIGHT(INDEX(tblStellplatz[SAP],MATCH(PlanLayout!AN29,tblStellplatz[Stellplatz],0)),5),RIGHT(INDEX(tblStellplatz[SAP],MATCH(PlanLayout!AN29,tblStellplatz[Stellplatz],0)),4))),"?"))</f>
        <v/>
      </c>
      <c r="AO29" s="4">
        <f>IF(PlanLayout!AO29="","",PlanLayout!AO29&amp;CHAR(10)&amp;IFERROR(IF(INDEX(tblStellplatz[SAP],MATCH(PlanLayout!AO29,tblStellplatz[Stellplatz],0))="","leer",IF(LEFT(RIGHT(INDEX(tblStellplatz[SAP],MATCH(PlanLayout!AO29,tblStellplatz[Stellplatz],0)),4),1)="0",RIGHT(INDEX(tblStellplatz[SAP],MATCH(PlanLayout!AO29,tblStellplatz[Stellplatz],0)),5),RIGHT(INDEX(tblStellplatz[SAP],MATCH(PlanLayout!AO29,tblStellplatz[Stellplatz],0)),4))),"?"))</f>
        <v/>
      </c>
    </row>
    <row r="30" ht="30" customHeight="1">
      <c r="B30" s="4">
        <f>IF(PlanLayout!B30="","",PlanLayout!B30&amp;CHAR(10)&amp;IFERROR(IF(INDEX(tblStellplatz[SAP],MATCH(PlanLayout!B30,tblStellplatz[Stellplatz],0))="","leer",IF(LEFT(RIGHT(INDEX(tblStellplatz[SAP],MATCH(PlanLayout!B30,tblStellplatz[Stellplatz],0)),4),1)="0",RIGHT(INDEX(tblStellplatz[SAP],MATCH(PlanLayout!B30,tblStellplatz[Stellplatz],0)),5),RIGHT(INDEX(tblStellplatz[SAP],MATCH(PlanLayout!B30,tblStellplatz[Stellplatz],0)),4))),"?"))</f>
        <v/>
      </c>
      <c r="C30" s="4">
        <f>IF(PlanLayout!C30="","",PlanLayout!C30&amp;CHAR(10)&amp;IFERROR(IF(INDEX(tblStellplatz[SAP],MATCH(PlanLayout!C30,tblStellplatz[Stellplatz],0))="","leer",IF(LEFT(RIGHT(INDEX(tblStellplatz[SAP],MATCH(PlanLayout!C30,tblStellplatz[Stellplatz],0)),4),1)="0",RIGHT(INDEX(tblStellplatz[SAP],MATCH(PlanLayout!C30,tblStellplatz[Stellplatz],0)),5),RIGHT(INDEX(tblStellplatz[SAP],MATCH(PlanLayout!C30,tblStellplatz[Stellplatz],0)),4))),"?"))</f>
        <v/>
      </c>
      <c r="D30" s="4">
        <f>IF(PlanLayout!D30="","",PlanLayout!D30&amp;CHAR(10)&amp;IFERROR(IF(INDEX(tblStellplatz[SAP],MATCH(PlanLayout!D30,tblStellplatz[Stellplatz],0))="","leer",IF(LEFT(RIGHT(INDEX(tblStellplatz[SAP],MATCH(PlanLayout!D30,tblStellplatz[Stellplatz],0)),4),1)="0",RIGHT(INDEX(tblStellplatz[SAP],MATCH(PlanLayout!D30,tblStellplatz[Stellplatz],0)),5),RIGHT(INDEX(tblStellplatz[SAP],MATCH(PlanLayout!D30,tblStellplatz[Stellplatz],0)),4))),"?"))</f>
        <v/>
      </c>
      <c r="E30" s="4">
        <f>IF(PlanLayout!E30="","",PlanLayout!E30&amp;CHAR(10)&amp;IFERROR(IF(INDEX(tblStellplatz[SAP],MATCH(PlanLayout!E30,tblStellplatz[Stellplatz],0))="","leer",IF(LEFT(RIGHT(INDEX(tblStellplatz[SAP],MATCH(PlanLayout!E30,tblStellplatz[Stellplatz],0)),4),1)="0",RIGHT(INDEX(tblStellplatz[SAP],MATCH(PlanLayout!E30,tblStellplatz[Stellplatz],0)),5),RIGHT(INDEX(tblStellplatz[SAP],MATCH(PlanLayout!E30,tblStellplatz[Stellplatz],0)),4))),"?"))</f>
        <v/>
      </c>
      <c r="F30" s="4">
        <f>IF(PlanLayout!F30="","",PlanLayout!F30&amp;CHAR(10)&amp;IFERROR(IF(INDEX(tblStellplatz[SAP],MATCH(PlanLayout!F30,tblStellplatz[Stellplatz],0))="","leer",IF(LEFT(RIGHT(INDEX(tblStellplatz[SAP],MATCH(PlanLayout!F30,tblStellplatz[Stellplatz],0)),4),1)="0",RIGHT(INDEX(tblStellplatz[SAP],MATCH(PlanLayout!F30,tblStellplatz[Stellplatz],0)),5),RIGHT(INDEX(tblStellplatz[SAP],MATCH(PlanLayout!F30,tblStellplatz[Stellplatz],0)),4))),"?"))</f>
        <v/>
      </c>
      <c r="G30" s="4">
        <f>IF(PlanLayout!G30="","",PlanLayout!G30&amp;CHAR(10)&amp;IFERROR(IF(INDEX(tblStellplatz[SAP],MATCH(PlanLayout!G30,tblStellplatz[Stellplatz],0))="","leer",IF(LEFT(RIGHT(INDEX(tblStellplatz[SAP],MATCH(PlanLayout!G30,tblStellplatz[Stellplatz],0)),4),1)="0",RIGHT(INDEX(tblStellplatz[SAP],MATCH(PlanLayout!G30,tblStellplatz[Stellplatz],0)),5),RIGHT(INDEX(tblStellplatz[SAP],MATCH(PlanLayout!G30,tblStellplatz[Stellplatz],0)),4))),"?"))</f>
        <v/>
      </c>
      <c r="H30" s="4">
        <f>IF(PlanLayout!H30="","",PlanLayout!H30&amp;CHAR(10)&amp;IFERROR(IF(INDEX(tblStellplatz[SAP],MATCH(PlanLayout!H30,tblStellplatz[Stellplatz],0))="","leer",IF(LEFT(RIGHT(INDEX(tblStellplatz[SAP],MATCH(PlanLayout!H30,tblStellplatz[Stellplatz],0)),4),1)="0",RIGHT(INDEX(tblStellplatz[SAP],MATCH(PlanLayout!H30,tblStellplatz[Stellplatz],0)),5),RIGHT(INDEX(tblStellplatz[SAP],MATCH(PlanLayout!H30,tblStellplatz[Stellplatz],0)),4))),"?"))</f>
        <v/>
      </c>
      <c r="I30" s="4">
        <f>IF(PlanLayout!I30="","",PlanLayout!I30&amp;CHAR(10)&amp;IFERROR(IF(INDEX(tblStellplatz[SAP],MATCH(PlanLayout!I30,tblStellplatz[Stellplatz],0))="","leer",IF(LEFT(RIGHT(INDEX(tblStellplatz[SAP],MATCH(PlanLayout!I30,tblStellplatz[Stellplatz],0)),4),1)="0",RIGHT(INDEX(tblStellplatz[SAP],MATCH(PlanLayout!I30,tblStellplatz[Stellplatz],0)),5),RIGHT(INDEX(tblStellplatz[SAP],MATCH(PlanLayout!I30,tblStellplatz[Stellplatz],0)),4))),"?"))</f>
        <v/>
      </c>
      <c r="J30" s="4">
        <f>IF(PlanLayout!J30="","",PlanLayout!J30&amp;CHAR(10)&amp;IFERROR(IF(INDEX(tblStellplatz[SAP],MATCH(PlanLayout!J30,tblStellplatz[Stellplatz],0))="","leer",IF(LEFT(RIGHT(INDEX(tblStellplatz[SAP],MATCH(PlanLayout!J30,tblStellplatz[Stellplatz],0)),4),1)="0",RIGHT(INDEX(tblStellplatz[SAP],MATCH(PlanLayout!J30,tblStellplatz[Stellplatz],0)),5),RIGHT(INDEX(tblStellplatz[SAP],MATCH(PlanLayout!J30,tblStellplatz[Stellplatz],0)),4))),"?"))</f>
        <v/>
      </c>
      <c r="K30" s="4">
        <f>IF(PlanLayout!K30="","",PlanLayout!K30&amp;CHAR(10)&amp;IFERROR(IF(INDEX(tblStellplatz[SAP],MATCH(PlanLayout!K30,tblStellplatz[Stellplatz],0))="","leer",IF(LEFT(RIGHT(INDEX(tblStellplatz[SAP],MATCH(PlanLayout!K30,tblStellplatz[Stellplatz],0)),4),1)="0",RIGHT(INDEX(tblStellplatz[SAP],MATCH(PlanLayout!K30,tblStellplatz[Stellplatz],0)),5),RIGHT(INDEX(tblStellplatz[SAP],MATCH(PlanLayout!K30,tblStellplatz[Stellplatz],0)),4))),"?"))</f>
        <v/>
      </c>
      <c r="L30" s="4">
        <f>IF(PlanLayout!L30="","",PlanLayout!L30&amp;CHAR(10)&amp;IFERROR(IF(INDEX(tblStellplatz[SAP],MATCH(PlanLayout!L30,tblStellplatz[Stellplatz],0))="","leer",IF(LEFT(RIGHT(INDEX(tblStellplatz[SAP],MATCH(PlanLayout!L30,tblStellplatz[Stellplatz],0)),4),1)="0",RIGHT(INDEX(tblStellplatz[SAP],MATCH(PlanLayout!L30,tblStellplatz[Stellplatz],0)),5),RIGHT(INDEX(tblStellplatz[SAP],MATCH(PlanLayout!L30,tblStellplatz[Stellplatz],0)),4))),"?"))</f>
        <v/>
      </c>
      <c r="M30" s="4">
        <f>IF(PlanLayout!M30="","",PlanLayout!M30&amp;CHAR(10)&amp;IFERROR(IF(INDEX(tblStellplatz[SAP],MATCH(PlanLayout!M30,tblStellplatz[Stellplatz],0))="","leer",IF(LEFT(RIGHT(INDEX(tblStellplatz[SAP],MATCH(PlanLayout!M30,tblStellplatz[Stellplatz],0)),4),1)="0",RIGHT(INDEX(tblStellplatz[SAP],MATCH(PlanLayout!M30,tblStellplatz[Stellplatz],0)),5),RIGHT(INDEX(tblStellplatz[SAP],MATCH(PlanLayout!M30,tblStellplatz[Stellplatz],0)),4))),"?"))</f>
        <v/>
      </c>
      <c r="N30" s="4">
        <f>IF(PlanLayout!N30="","",PlanLayout!N30&amp;CHAR(10)&amp;IFERROR(IF(INDEX(tblStellplatz[SAP],MATCH(PlanLayout!N30,tblStellplatz[Stellplatz],0))="","leer",IF(LEFT(RIGHT(INDEX(tblStellplatz[SAP],MATCH(PlanLayout!N30,tblStellplatz[Stellplatz],0)),4),1)="0",RIGHT(INDEX(tblStellplatz[SAP],MATCH(PlanLayout!N30,tblStellplatz[Stellplatz],0)),5),RIGHT(INDEX(tblStellplatz[SAP],MATCH(PlanLayout!N30,tblStellplatz[Stellplatz],0)),4))),"?"))</f>
        <v/>
      </c>
      <c r="O30" s="4">
        <f>IF(PlanLayout!O30="","",PlanLayout!O30&amp;CHAR(10)&amp;IFERROR(IF(INDEX(tblStellplatz[SAP],MATCH(PlanLayout!O30,tblStellplatz[Stellplatz],0))="","leer",IF(LEFT(RIGHT(INDEX(tblStellplatz[SAP],MATCH(PlanLayout!O30,tblStellplatz[Stellplatz],0)),4),1)="0",RIGHT(INDEX(tblStellplatz[SAP],MATCH(PlanLayout!O30,tblStellplatz[Stellplatz],0)),5),RIGHT(INDEX(tblStellplatz[SAP],MATCH(PlanLayout!O30,tblStellplatz[Stellplatz],0)),4))),"?"))</f>
        <v/>
      </c>
      <c r="P30" s="4">
        <f>IF(PlanLayout!P30="","",PlanLayout!P30&amp;CHAR(10)&amp;IFERROR(IF(INDEX(tblStellplatz[SAP],MATCH(PlanLayout!P30,tblStellplatz[Stellplatz],0))="","leer",IF(LEFT(RIGHT(INDEX(tblStellplatz[SAP],MATCH(PlanLayout!P30,tblStellplatz[Stellplatz],0)),4),1)="0",RIGHT(INDEX(tblStellplatz[SAP],MATCH(PlanLayout!P30,tblStellplatz[Stellplatz],0)),5),RIGHT(INDEX(tblStellplatz[SAP],MATCH(PlanLayout!P30,tblStellplatz[Stellplatz],0)),4))),"?"))</f>
        <v/>
      </c>
      <c r="Q30" s="4">
        <f>IF(PlanLayout!Q30="","",PlanLayout!Q30&amp;CHAR(10)&amp;IFERROR(IF(INDEX(tblStellplatz[SAP],MATCH(PlanLayout!Q30,tblStellplatz[Stellplatz],0))="","leer",IF(LEFT(RIGHT(INDEX(tblStellplatz[SAP],MATCH(PlanLayout!Q30,tblStellplatz[Stellplatz],0)),4),1)="0",RIGHT(INDEX(tblStellplatz[SAP],MATCH(PlanLayout!Q30,tblStellplatz[Stellplatz],0)),5),RIGHT(INDEX(tblStellplatz[SAP],MATCH(PlanLayout!Q30,tblStellplatz[Stellplatz],0)),4))),"?"))</f>
        <v/>
      </c>
      <c r="R30" s="4">
        <f>IF(PlanLayout!R30="","",PlanLayout!R30&amp;CHAR(10)&amp;IFERROR(IF(INDEX(tblStellplatz[SAP],MATCH(PlanLayout!R30,tblStellplatz[Stellplatz],0))="","leer",IF(LEFT(RIGHT(INDEX(tblStellplatz[SAP],MATCH(PlanLayout!R30,tblStellplatz[Stellplatz],0)),4),1)="0",RIGHT(INDEX(tblStellplatz[SAP],MATCH(PlanLayout!R30,tblStellplatz[Stellplatz],0)),5),RIGHT(INDEX(tblStellplatz[SAP],MATCH(PlanLayout!R30,tblStellplatz[Stellplatz],0)),4))),"?"))</f>
        <v/>
      </c>
      <c r="S30" s="4">
        <f>IF(PlanLayout!S30="","",PlanLayout!S30&amp;CHAR(10)&amp;IFERROR(IF(INDEX(tblStellplatz[SAP],MATCH(PlanLayout!S30,tblStellplatz[Stellplatz],0))="","leer",IF(LEFT(RIGHT(INDEX(tblStellplatz[SAP],MATCH(PlanLayout!S30,tblStellplatz[Stellplatz],0)),4),1)="0",RIGHT(INDEX(tblStellplatz[SAP],MATCH(PlanLayout!S30,tblStellplatz[Stellplatz],0)),5),RIGHT(INDEX(tblStellplatz[SAP],MATCH(PlanLayout!S30,tblStellplatz[Stellplatz],0)),4))),"?"))</f>
        <v/>
      </c>
      <c r="T30" s="4">
        <f>IF(PlanLayout!T30="","",PlanLayout!T30&amp;CHAR(10)&amp;IFERROR(IF(INDEX(tblStellplatz[SAP],MATCH(PlanLayout!T30,tblStellplatz[Stellplatz],0))="","leer",IF(LEFT(RIGHT(INDEX(tblStellplatz[SAP],MATCH(PlanLayout!T30,tblStellplatz[Stellplatz],0)),4),1)="0",RIGHT(INDEX(tblStellplatz[SAP],MATCH(PlanLayout!T30,tblStellplatz[Stellplatz],0)),5),RIGHT(INDEX(tblStellplatz[SAP],MATCH(PlanLayout!T30,tblStellplatz[Stellplatz],0)),4))),"?"))</f>
        <v/>
      </c>
      <c r="U30" s="4">
        <f>IF(PlanLayout!U30="","",PlanLayout!U30&amp;CHAR(10)&amp;IFERROR(IF(INDEX(tblStellplatz[SAP],MATCH(PlanLayout!U30,tblStellplatz[Stellplatz],0))="","leer",IF(LEFT(RIGHT(INDEX(tblStellplatz[SAP],MATCH(PlanLayout!U30,tblStellplatz[Stellplatz],0)),4),1)="0",RIGHT(INDEX(tblStellplatz[SAP],MATCH(PlanLayout!U30,tblStellplatz[Stellplatz],0)),5),RIGHT(INDEX(tblStellplatz[SAP],MATCH(PlanLayout!U30,tblStellplatz[Stellplatz],0)),4))),"?"))</f>
        <v/>
      </c>
      <c r="V30" s="4">
        <f>IF(PlanLayout!V30="","",PlanLayout!V30&amp;CHAR(10)&amp;IFERROR(IF(INDEX(tblStellplatz[SAP],MATCH(PlanLayout!V30,tblStellplatz[Stellplatz],0))="","leer",IF(LEFT(RIGHT(INDEX(tblStellplatz[SAP],MATCH(PlanLayout!V30,tblStellplatz[Stellplatz],0)),4),1)="0",RIGHT(INDEX(tblStellplatz[SAP],MATCH(PlanLayout!V30,tblStellplatz[Stellplatz],0)),5),RIGHT(INDEX(tblStellplatz[SAP],MATCH(PlanLayout!V30,tblStellplatz[Stellplatz],0)),4))),"?"))</f>
        <v/>
      </c>
      <c r="W30" s="4">
        <f>IF(PlanLayout!W30="","",PlanLayout!W30&amp;CHAR(10)&amp;IFERROR(IF(INDEX(tblStellplatz[SAP],MATCH(PlanLayout!W30,tblStellplatz[Stellplatz],0))="","leer",IF(LEFT(RIGHT(INDEX(tblStellplatz[SAP],MATCH(PlanLayout!W30,tblStellplatz[Stellplatz],0)),4),1)="0",RIGHT(INDEX(tblStellplatz[SAP],MATCH(PlanLayout!W30,tblStellplatz[Stellplatz],0)),5),RIGHT(INDEX(tblStellplatz[SAP],MATCH(PlanLayout!W30,tblStellplatz[Stellplatz],0)),4))),"?"))</f>
        <v/>
      </c>
      <c r="X30" s="4">
        <f>IF(PlanLayout!X30="","",PlanLayout!X30&amp;CHAR(10)&amp;IFERROR(IF(INDEX(tblStellplatz[SAP],MATCH(PlanLayout!X30,tblStellplatz[Stellplatz],0))="","leer",IF(LEFT(RIGHT(INDEX(tblStellplatz[SAP],MATCH(PlanLayout!X30,tblStellplatz[Stellplatz],0)),4),1)="0",RIGHT(INDEX(tblStellplatz[SAP],MATCH(PlanLayout!X30,tblStellplatz[Stellplatz],0)),5),RIGHT(INDEX(tblStellplatz[SAP],MATCH(PlanLayout!X30,tblStellplatz[Stellplatz],0)),4))),"?"))</f>
        <v/>
      </c>
      <c r="Y30" s="4">
        <f>IF(PlanLayout!Y30="","",PlanLayout!Y30&amp;CHAR(10)&amp;IFERROR(IF(INDEX(tblStellplatz[SAP],MATCH(PlanLayout!Y30,tblStellplatz[Stellplatz],0))="","leer",IF(LEFT(RIGHT(INDEX(tblStellplatz[SAP],MATCH(PlanLayout!Y30,tblStellplatz[Stellplatz],0)),4),1)="0",RIGHT(INDEX(tblStellplatz[SAP],MATCH(PlanLayout!Y30,tblStellplatz[Stellplatz],0)),5),RIGHT(INDEX(tblStellplatz[SAP],MATCH(PlanLayout!Y30,tblStellplatz[Stellplatz],0)),4))),"?"))</f>
        <v/>
      </c>
      <c r="Z30" s="4">
        <f>IF(PlanLayout!Z30="","",PlanLayout!Z30&amp;CHAR(10)&amp;IFERROR(IF(INDEX(tblStellplatz[SAP],MATCH(PlanLayout!Z30,tblStellplatz[Stellplatz],0))="","leer",IF(LEFT(RIGHT(INDEX(tblStellplatz[SAP],MATCH(PlanLayout!Z30,tblStellplatz[Stellplatz],0)),4),1)="0",RIGHT(INDEX(tblStellplatz[SAP],MATCH(PlanLayout!Z30,tblStellplatz[Stellplatz],0)),5),RIGHT(INDEX(tblStellplatz[SAP],MATCH(PlanLayout!Z30,tblStellplatz[Stellplatz],0)),4))),"?"))</f>
        <v/>
      </c>
      <c r="AA30" s="4">
        <f>IF(PlanLayout!AA30="","",PlanLayout!AA30&amp;CHAR(10)&amp;IFERROR(IF(INDEX(tblStellplatz[SAP],MATCH(PlanLayout!AA30,tblStellplatz[Stellplatz],0))="","leer",IF(LEFT(RIGHT(INDEX(tblStellplatz[SAP],MATCH(PlanLayout!AA30,tblStellplatz[Stellplatz],0)),4),1)="0",RIGHT(INDEX(tblStellplatz[SAP],MATCH(PlanLayout!AA30,tblStellplatz[Stellplatz],0)),5),RIGHT(INDEX(tblStellplatz[SAP],MATCH(PlanLayout!AA30,tblStellplatz[Stellplatz],0)),4))),"?"))</f>
        <v/>
      </c>
      <c r="AB30" s="4">
        <f>IF(PlanLayout!AB30="","",PlanLayout!AB30&amp;CHAR(10)&amp;IFERROR(IF(INDEX(tblStellplatz[SAP],MATCH(PlanLayout!AB30,tblStellplatz[Stellplatz],0))="","leer",IF(LEFT(RIGHT(INDEX(tblStellplatz[SAP],MATCH(PlanLayout!AB30,tblStellplatz[Stellplatz],0)),4),1)="0",RIGHT(INDEX(tblStellplatz[SAP],MATCH(PlanLayout!AB30,tblStellplatz[Stellplatz],0)),5),RIGHT(INDEX(tblStellplatz[SAP],MATCH(PlanLayout!AB30,tblStellplatz[Stellplatz],0)),4))),"?"))</f>
        <v/>
      </c>
      <c r="AC30" s="4">
        <f>IF(PlanLayout!AC30="","",PlanLayout!AC30&amp;CHAR(10)&amp;IFERROR(IF(INDEX(tblStellplatz[SAP],MATCH(PlanLayout!AC30,tblStellplatz[Stellplatz],0))="","leer",IF(LEFT(RIGHT(INDEX(tblStellplatz[SAP],MATCH(PlanLayout!AC30,tblStellplatz[Stellplatz],0)),4),1)="0",RIGHT(INDEX(tblStellplatz[SAP],MATCH(PlanLayout!AC30,tblStellplatz[Stellplatz],0)),5),RIGHT(INDEX(tblStellplatz[SAP],MATCH(PlanLayout!AC30,tblStellplatz[Stellplatz],0)),4))),"?"))</f>
        <v/>
      </c>
      <c r="AD30" s="4">
        <f>IF(PlanLayout!AD30="","",PlanLayout!AD30&amp;CHAR(10)&amp;IFERROR(IF(INDEX(tblStellplatz[SAP],MATCH(PlanLayout!AD30,tblStellplatz[Stellplatz],0))="","leer",IF(LEFT(RIGHT(INDEX(tblStellplatz[SAP],MATCH(PlanLayout!AD30,tblStellplatz[Stellplatz],0)),4),1)="0",RIGHT(INDEX(tblStellplatz[SAP],MATCH(PlanLayout!AD30,tblStellplatz[Stellplatz],0)),5),RIGHT(INDEX(tblStellplatz[SAP],MATCH(PlanLayout!AD30,tblStellplatz[Stellplatz],0)),4))),"?"))</f>
        <v/>
      </c>
      <c r="AE30" s="4">
        <f>IF(PlanLayout!AE30="","",PlanLayout!AE30&amp;CHAR(10)&amp;IFERROR(IF(INDEX(tblStellplatz[SAP],MATCH(PlanLayout!AE30,tblStellplatz[Stellplatz],0))="","leer",IF(LEFT(RIGHT(INDEX(tblStellplatz[SAP],MATCH(PlanLayout!AE30,tblStellplatz[Stellplatz],0)),4),1)="0",RIGHT(INDEX(tblStellplatz[SAP],MATCH(PlanLayout!AE30,tblStellplatz[Stellplatz],0)),5),RIGHT(INDEX(tblStellplatz[SAP],MATCH(PlanLayout!AE30,tblStellplatz[Stellplatz],0)),4))),"?"))</f>
        <v/>
      </c>
      <c r="AF30" s="4">
        <f>IF(PlanLayout!AF30="","",PlanLayout!AF30&amp;CHAR(10)&amp;IFERROR(IF(INDEX(tblStellplatz[SAP],MATCH(PlanLayout!AF30,tblStellplatz[Stellplatz],0))="","leer",IF(LEFT(RIGHT(INDEX(tblStellplatz[SAP],MATCH(PlanLayout!AF30,tblStellplatz[Stellplatz],0)),4),1)="0",RIGHT(INDEX(tblStellplatz[SAP],MATCH(PlanLayout!AF30,tblStellplatz[Stellplatz],0)),5),RIGHT(INDEX(tblStellplatz[SAP],MATCH(PlanLayout!AF30,tblStellplatz[Stellplatz],0)),4))),"?"))</f>
        <v/>
      </c>
      <c r="AG30" s="4">
        <f>IF(PlanLayout!AG30="","",PlanLayout!AG30&amp;CHAR(10)&amp;IFERROR(IF(INDEX(tblStellplatz[SAP],MATCH(PlanLayout!AG30,tblStellplatz[Stellplatz],0))="","leer",IF(LEFT(RIGHT(INDEX(tblStellplatz[SAP],MATCH(PlanLayout!AG30,tblStellplatz[Stellplatz],0)),4),1)="0",RIGHT(INDEX(tblStellplatz[SAP],MATCH(PlanLayout!AG30,tblStellplatz[Stellplatz],0)),5),RIGHT(INDEX(tblStellplatz[SAP],MATCH(PlanLayout!AG30,tblStellplatz[Stellplatz],0)),4))),"?"))</f>
        <v/>
      </c>
      <c r="AH30" s="4">
        <f>IF(PlanLayout!AH30="","",PlanLayout!AH30&amp;CHAR(10)&amp;IFERROR(IF(INDEX(tblStellplatz[SAP],MATCH(PlanLayout!AH30,tblStellplatz[Stellplatz],0))="","leer",IF(LEFT(RIGHT(INDEX(tblStellplatz[SAP],MATCH(PlanLayout!AH30,tblStellplatz[Stellplatz],0)),4),1)="0",RIGHT(INDEX(tblStellplatz[SAP],MATCH(PlanLayout!AH30,tblStellplatz[Stellplatz],0)),5),RIGHT(INDEX(tblStellplatz[SAP],MATCH(PlanLayout!AH30,tblStellplatz[Stellplatz],0)),4))),"?"))</f>
        <v/>
      </c>
      <c r="AI30" s="4">
        <f>IF(PlanLayout!AI30="","",PlanLayout!AI30&amp;CHAR(10)&amp;IFERROR(IF(INDEX(tblStellplatz[SAP],MATCH(PlanLayout!AI30,tblStellplatz[Stellplatz],0))="","leer",IF(LEFT(RIGHT(INDEX(tblStellplatz[SAP],MATCH(PlanLayout!AI30,tblStellplatz[Stellplatz],0)),4),1)="0",RIGHT(INDEX(tblStellplatz[SAP],MATCH(PlanLayout!AI30,tblStellplatz[Stellplatz],0)),5),RIGHT(INDEX(tblStellplatz[SAP],MATCH(PlanLayout!AI30,tblStellplatz[Stellplatz],0)),4))),"?"))</f>
        <v/>
      </c>
      <c r="AJ30" s="4">
        <f>IF(PlanLayout!AJ30="","",PlanLayout!AJ30&amp;CHAR(10)&amp;IFERROR(IF(INDEX(tblStellplatz[SAP],MATCH(PlanLayout!AJ30,tblStellplatz[Stellplatz],0))="","leer",IF(LEFT(RIGHT(INDEX(tblStellplatz[SAP],MATCH(PlanLayout!AJ30,tblStellplatz[Stellplatz],0)),4),1)="0",RIGHT(INDEX(tblStellplatz[SAP],MATCH(PlanLayout!AJ30,tblStellplatz[Stellplatz],0)),5),RIGHT(INDEX(tblStellplatz[SAP],MATCH(PlanLayout!AJ30,tblStellplatz[Stellplatz],0)),4))),"?"))</f>
        <v/>
      </c>
      <c r="AK30" s="4">
        <f>IF(PlanLayout!AK30="","",PlanLayout!AK30&amp;CHAR(10)&amp;IFERROR(IF(INDEX(tblStellplatz[SAP],MATCH(PlanLayout!AK30,tblStellplatz[Stellplatz],0))="","leer",IF(LEFT(RIGHT(INDEX(tblStellplatz[SAP],MATCH(PlanLayout!AK30,tblStellplatz[Stellplatz],0)),4),1)="0",RIGHT(INDEX(tblStellplatz[SAP],MATCH(PlanLayout!AK30,tblStellplatz[Stellplatz],0)),5),RIGHT(INDEX(tblStellplatz[SAP],MATCH(PlanLayout!AK30,tblStellplatz[Stellplatz],0)),4))),"?"))</f>
        <v/>
      </c>
      <c r="AL30" s="4">
        <f>IF(PlanLayout!AL30="","",PlanLayout!AL30&amp;CHAR(10)&amp;IFERROR(IF(INDEX(tblStellplatz[SAP],MATCH(PlanLayout!AL30,tblStellplatz[Stellplatz],0))="","leer",IF(LEFT(RIGHT(INDEX(tblStellplatz[SAP],MATCH(PlanLayout!AL30,tblStellplatz[Stellplatz],0)),4),1)="0",RIGHT(INDEX(tblStellplatz[SAP],MATCH(PlanLayout!AL30,tblStellplatz[Stellplatz],0)),5),RIGHT(INDEX(tblStellplatz[SAP],MATCH(PlanLayout!AL30,tblStellplatz[Stellplatz],0)),4))),"?"))</f>
        <v/>
      </c>
      <c r="AM30" s="4">
        <f>IF(PlanLayout!AM30="","",PlanLayout!AM30&amp;CHAR(10)&amp;IFERROR(IF(INDEX(tblStellplatz[SAP],MATCH(PlanLayout!AM30,tblStellplatz[Stellplatz],0))="","leer",IF(LEFT(RIGHT(INDEX(tblStellplatz[SAP],MATCH(PlanLayout!AM30,tblStellplatz[Stellplatz],0)),4),1)="0",RIGHT(INDEX(tblStellplatz[SAP],MATCH(PlanLayout!AM30,tblStellplatz[Stellplatz],0)),5),RIGHT(INDEX(tblStellplatz[SAP],MATCH(PlanLayout!AM30,tblStellplatz[Stellplatz],0)),4))),"?"))</f>
        <v/>
      </c>
      <c r="AN30" s="4">
        <f>IF(PlanLayout!AN30="","",PlanLayout!AN30&amp;CHAR(10)&amp;IFERROR(IF(INDEX(tblStellplatz[SAP],MATCH(PlanLayout!AN30,tblStellplatz[Stellplatz],0))="","leer",IF(LEFT(RIGHT(INDEX(tblStellplatz[SAP],MATCH(PlanLayout!AN30,tblStellplatz[Stellplatz],0)),4),1)="0",RIGHT(INDEX(tblStellplatz[SAP],MATCH(PlanLayout!AN30,tblStellplatz[Stellplatz],0)),5),RIGHT(INDEX(tblStellplatz[SAP],MATCH(PlanLayout!AN30,tblStellplatz[Stellplatz],0)),4))),"?"))</f>
        <v/>
      </c>
      <c r="AO30" s="4">
        <f>IF(PlanLayout!AO30="","",PlanLayout!AO30&amp;CHAR(10)&amp;IFERROR(IF(INDEX(tblStellplatz[SAP],MATCH(PlanLayout!AO30,tblStellplatz[Stellplatz],0))="","leer",IF(LEFT(RIGHT(INDEX(tblStellplatz[SAP],MATCH(PlanLayout!AO30,tblStellplatz[Stellplatz],0)),4),1)="0",RIGHT(INDEX(tblStellplatz[SAP],MATCH(PlanLayout!AO30,tblStellplatz[Stellplatz],0)),5),RIGHT(INDEX(tblStellplatz[SAP],MATCH(PlanLayout!AO30,tblStellplatz[Stellplatz],0)),4))),"?"))</f>
        <v/>
      </c>
    </row>
    <row r="31" ht="30" customHeight="1">
      <c r="B31" s="4">
        <f>IF(PlanLayout!B31="","",PlanLayout!B31&amp;CHAR(10)&amp;IFERROR(IF(INDEX(tblStellplatz[SAP],MATCH(PlanLayout!B31,tblStellplatz[Stellplatz],0))="","leer",IF(LEFT(RIGHT(INDEX(tblStellplatz[SAP],MATCH(PlanLayout!B31,tblStellplatz[Stellplatz],0)),4),1)="0",RIGHT(INDEX(tblStellplatz[SAP],MATCH(PlanLayout!B31,tblStellplatz[Stellplatz],0)),5),RIGHT(INDEX(tblStellplatz[SAP],MATCH(PlanLayout!B31,tblStellplatz[Stellplatz],0)),4))),"?"))</f>
        <v/>
      </c>
      <c r="C31" s="4">
        <f>IF(PlanLayout!C31="","",PlanLayout!C31&amp;CHAR(10)&amp;IFERROR(IF(INDEX(tblStellplatz[SAP],MATCH(PlanLayout!C31,tblStellplatz[Stellplatz],0))="","leer",IF(LEFT(RIGHT(INDEX(tblStellplatz[SAP],MATCH(PlanLayout!C31,tblStellplatz[Stellplatz],0)),4),1)="0",RIGHT(INDEX(tblStellplatz[SAP],MATCH(PlanLayout!C31,tblStellplatz[Stellplatz],0)),5),RIGHT(INDEX(tblStellplatz[SAP],MATCH(PlanLayout!C31,tblStellplatz[Stellplatz],0)),4))),"?"))</f>
        <v/>
      </c>
      <c r="D31" s="4">
        <f>IF(PlanLayout!D31="","",PlanLayout!D31&amp;CHAR(10)&amp;IFERROR(IF(INDEX(tblStellplatz[SAP],MATCH(PlanLayout!D31,tblStellplatz[Stellplatz],0))="","leer",IF(LEFT(RIGHT(INDEX(tblStellplatz[SAP],MATCH(PlanLayout!D31,tblStellplatz[Stellplatz],0)),4),1)="0",RIGHT(INDEX(tblStellplatz[SAP],MATCH(PlanLayout!D31,tblStellplatz[Stellplatz],0)),5),RIGHT(INDEX(tblStellplatz[SAP],MATCH(PlanLayout!D31,tblStellplatz[Stellplatz],0)),4))),"?"))</f>
        <v/>
      </c>
      <c r="E31" s="4">
        <f>IF(PlanLayout!E31="","",PlanLayout!E31&amp;CHAR(10)&amp;IFERROR(IF(INDEX(tblStellplatz[SAP],MATCH(PlanLayout!E31,tblStellplatz[Stellplatz],0))="","leer",IF(LEFT(RIGHT(INDEX(tblStellplatz[SAP],MATCH(PlanLayout!E31,tblStellplatz[Stellplatz],0)),4),1)="0",RIGHT(INDEX(tblStellplatz[SAP],MATCH(PlanLayout!E31,tblStellplatz[Stellplatz],0)),5),RIGHT(INDEX(tblStellplatz[SAP],MATCH(PlanLayout!E31,tblStellplatz[Stellplatz],0)),4))),"?"))</f>
        <v/>
      </c>
      <c r="F31" s="4">
        <f>IF(PlanLayout!F31="","",PlanLayout!F31&amp;CHAR(10)&amp;IFERROR(IF(INDEX(tblStellplatz[SAP],MATCH(PlanLayout!F31,tblStellplatz[Stellplatz],0))="","leer",IF(LEFT(RIGHT(INDEX(tblStellplatz[SAP],MATCH(PlanLayout!F31,tblStellplatz[Stellplatz],0)),4),1)="0",RIGHT(INDEX(tblStellplatz[SAP],MATCH(PlanLayout!F31,tblStellplatz[Stellplatz],0)),5),RIGHT(INDEX(tblStellplatz[SAP],MATCH(PlanLayout!F31,tblStellplatz[Stellplatz],0)),4))),"?"))</f>
        <v/>
      </c>
      <c r="G31" s="4">
        <f>IF(PlanLayout!G31="","",PlanLayout!G31&amp;CHAR(10)&amp;IFERROR(IF(INDEX(tblStellplatz[SAP],MATCH(PlanLayout!G31,tblStellplatz[Stellplatz],0))="","leer",IF(LEFT(RIGHT(INDEX(tblStellplatz[SAP],MATCH(PlanLayout!G31,tblStellplatz[Stellplatz],0)),4),1)="0",RIGHT(INDEX(tblStellplatz[SAP],MATCH(PlanLayout!G31,tblStellplatz[Stellplatz],0)),5),RIGHT(INDEX(tblStellplatz[SAP],MATCH(PlanLayout!G31,tblStellplatz[Stellplatz],0)),4))),"?"))</f>
        <v/>
      </c>
      <c r="H31" s="4">
        <f>IF(PlanLayout!H31="","",PlanLayout!H31&amp;CHAR(10)&amp;IFERROR(IF(INDEX(tblStellplatz[SAP],MATCH(PlanLayout!H31,tblStellplatz[Stellplatz],0))="","leer",IF(LEFT(RIGHT(INDEX(tblStellplatz[SAP],MATCH(PlanLayout!H31,tblStellplatz[Stellplatz],0)),4),1)="0",RIGHT(INDEX(tblStellplatz[SAP],MATCH(PlanLayout!H31,tblStellplatz[Stellplatz],0)),5),RIGHT(INDEX(tblStellplatz[SAP],MATCH(PlanLayout!H31,tblStellplatz[Stellplatz],0)),4))),"?"))</f>
        <v/>
      </c>
      <c r="I31" s="4">
        <f>IF(PlanLayout!I31="","",PlanLayout!I31&amp;CHAR(10)&amp;IFERROR(IF(INDEX(tblStellplatz[SAP],MATCH(PlanLayout!I31,tblStellplatz[Stellplatz],0))="","leer",IF(LEFT(RIGHT(INDEX(tblStellplatz[SAP],MATCH(PlanLayout!I31,tblStellplatz[Stellplatz],0)),4),1)="0",RIGHT(INDEX(tblStellplatz[SAP],MATCH(PlanLayout!I31,tblStellplatz[Stellplatz],0)),5),RIGHT(INDEX(tblStellplatz[SAP],MATCH(PlanLayout!I31,tblStellplatz[Stellplatz],0)),4))),"?"))</f>
        <v/>
      </c>
      <c r="J31" s="4">
        <f>IF(PlanLayout!J31="","",PlanLayout!J31&amp;CHAR(10)&amp;IFERROR(IF(INDEX(tblStellplatz[SAP],MATCH(PlanLayout!J31,tblStellplatz[Stellplatz],0))="","leer",IF(LEFT(RIGHT(INDEX(tblStellplatz[SAP],MATCH(PlanLayout!J31,tblStellplatz[Stellplatz],0)),4),1)="0",RIGHT(INDEX(tblStellplatz[SAP],MATCH(PlanLayout!J31,tblStellplatz[Stellplatz],0)),5),RIGHT(INDEX(tblStellplatz[SAP],MATCH(PlanLayout!J31,tblStellplatz[Stellplatz],0)),4))),"?"))</f>
        <v/>
      </c>
      <c r="K31" s="4">
        <f>IF(PlanLayout!K31="","",PlanLayout!K31&amp;CHAR(10)&amp;IFERROR(IF(INDEX(tblStellplatz[SAP],MATCH(PlanLayout!K31,tblStellplatz[Stellplatz],0))="","leer",IF(LEFT(RIGHT(INDEX(tblStellplatz[SAP],MATCH(PlanLayout!K31,tblStellplatz[Stellplatz],0)),4),1)="0",RIGHT(INDEX(tblStellplatz[SAP],MATCH(PlanLayout!K31,tblStellplatz[Stellplatz],0)),5),RIGHT(INDEX(tblStellplatz[SAP],MATCH(PlanLayout!K31,tblStellplatz[Stellplatz],0)),4))),"?"))</f>
        <v/>
      </c>
      <c r="L31" s="4">
        <f>IF(PlanLayout!L31="","",PlanLayout!L31&amp;CHAR(10)&amp;IFERROR(IF(INDEX(tblStellplatz[SAP],MATCH(PlanLayout!L31,tblStellplatz[Stellplatz],0))="","leer",IF(LEFT(RIGHT(INDEX(tblStellplatz[SAP],MATCH(PlanLayout!L31,tblStellplatz[Stellplatz],0)),4),1)="0",RIGHT(INDEX(tblStellplatz[SAP],MATCH(PlanLayout!L31,tblStellplatz[Stellplatz],0)),5),RIGHT(INDEX(tblStellplatz[SAP],MATCH(PlanLayout!L31,tblStellplatz[Stellplatz],0)),4))),"?"))</f>
        <v/>
      </c>
      <c r="M31" s="4">
        <f>IF(PlanLayout!M31="","",PlanLayout!M31&amp;CHAR(10)&amp;IFERROR(IF(INDEX(tblStellplatz[SAP],MATCH(PlanLayout!M31,tblStellplatz[Stellplatz],0))="","leer",IF(LEFT(RIGHT(INDEX(tblStellplatz[SAP],MATCH(PlanLayout!M31,tblStellplatz[Stellplatz],0)),4),1)="0",RIGHT(INDEX(tblStellplatz[SAP],MATCH(PlanLayout!M31,tblStellplatz[Stellplatz],0)),5),RIGHT(INDEX(tblStellplatz[SAP],MATCH(PlanLayout!M31,tblStellplatz[Stellplatz],0)),4))),"?"))</f>
        <v/>
      </c>
      <c r="N31" s="4">
        <f>IF(PlanLayout!N31="","",PlanLayout!N31&amp;CHAR(10)&amp;IFERROR(IF(INDEX(tblStellplatz[SAP],MATCH(PlanLayout!N31,tblStellplatz[Stellplatz],0))="","leer",IF(LEFT(RIGHT(INDEX(tblStellplatz[SAP],MATCH(PlanLayout!N31,tblStellplatz[Stellplatz],0)),4),1)="0",RIGHT(INDEX(tblStellplatz[SAP],MATCH(PlanLayout!N31,tblStellplatz[Stellplatz],0)),5),RIGHT(INDEX(tblStellplatz[SAP],MATCH(PlanLayout!N31,tblStellplatz[Stellplatz],0)),4))),"?"))</f>
        <v/>
      </c>
      <c r="O31" s="4">
        <f>IF(PlanLayout!O31="","",PlanLayout!O31&amp;CHAR(10)&amp;IFERROR(IF(INDEX(tblStellplatz[SAP],MATCH(PlanLayout!O31,tblStellplatz[Stellplatz],0))="","leer",IF(LEFT(RIGHT(INDEX(tblStellplatz[SAP],MATCH(PlanLayout!O31,tblStellplatz[Stellplatz],0)),4),1)="0",RIGHT(INDEX(tblStellplatz[SAP],MATCH(PlanLayout!O31,tblStellplatz[Stellplatz],0)),5),RIGHT(INDEX(tblStellplatz[SAP],MATCH(PlanLayout!O31,tblStellplatz[Stellplatz],0)),4))),"?"))</f>
        <v/>
      </c>
      <c r="P31" s="4">
        <f>IF(PlanLayout!P31="","",PlanLayout!P31&amp;CHAR(10)&amp;IFERROR(IF(INDEX(tblStellplatz[SAP],MATCH(PlanLayout!P31,tblStellplatz[Stellplatz],0))="","leer",IF(LEFT(RIGHT(INDEX(tblStellplatz[SAP],MATCH(PlanLayout!P31,tblStellplatz[Stellplatz],0)),4),1)="0",RIGHT(INDEX(tblStellplatz[SAP],MATCH(PlanLayout!P31,tblStellplatz[Stellplatz],0)),5),RIGHT(INDEX(tblStellplatz[SAP],MATCH(PlanLayout!P31,tblStellplatz[Stellplatz],0)),4))),"?"))</f>
        <v/>
      </c>
      <c r="Q31" s="4">
        <f>IF(PlanLayout!Q31="","",PlanLayout!Q31&amp;CHAR(10)&amp;IFERROR(IF(INDEX(tblStellplatz[SAP],MATCH(PlanLayout!Q31,tblStellplatz[Stellplatz],0))="","leer",IF(LEFT(RIGHT(INDEX(tblStellplatz[SAP],MATCH(PlanLayout!Q31,tblStellplatz[Stellplatz],0)),4),1)="0",RIGHT(INDEX(tblStellplatz[SAP],MATCH(PlanLayout!Q31,tblStellplatz[Stellplatz],0)),5),RIGHT(INDEX(tblStellplatz[SAP],MATCH(PlanLayout!Q31,tblStellplatz[Stellplatz],0)),4))),"?"))</f>
        <v/>
      </c>
      <c r="R31" s="4">
        <f>IF(PlanLayout!R31="","",PlanLayout!R31&amp;CHAR(10)&amp;IFERROR(IF(INDEX(tblStellplatz[SAP],MATCH(PlanLayout!R31,tblStellplatz[Stellplatz],0))="","leer",IF(LEFT(RIGHT(INDEX(tblStellplatz[SAP],MATCH(PlanLayout!R31,tblStellplatz[Stellplatz],0)),4),1)="0",RIGHT(INDEX(tblStellplatz[SAP],MATCH(PlanLayout!R31,tblStellplatz[Stellplatz],0)),5),RIGHT(INDEX(tblStellplatz[SAP],MATCH(PlanLayout!R31,tblStellplatz[Stellplatz],0)),4))),"?"))</f>
        <v/>
      </c>
      <c r="S31" s="4">
        <f>IF(PlanLayout!S31="","",PlanLayout!S31&amp;CHAR(10)&amp;IFERROR(IF(INDEX(tblStellplatz[SAP],MATCH(PlanLayout!S31,tblStellplatz[Stellplatz],0))="","leer",IF(LEFT(RIGHT(INDEX(tblStellplatz[SAP],MATCH(PlanLayout!S31,tblStellplatz[Stellplatz],0)),4),1)="0",RIGHT(INDEX(tblStellplatz[SAP],MATCH(PlanLayout!S31,tblStellplatz[Stellplatz],0)),5),RIGHT(INDEX(tblStellplatz[SAP],MATCH(PlanLayout!S31,tblStellplatz[Stellplatz],0)),4))),"?"))</f>
        <v/>
      </c>
      <c r="T31" s="4">
        <f>IF(PlanLayout!T31="","",PlanLayout!T31&amp;CHAR(10)&amp;IFERROR(IF(INDEX(tblStellplatz[SAP],MATCH(PlanLayout!T31,tblStellplatz[Stellplatz],0))="","leer",IF(LEFT(RIGHT(INDEX(tblStellplatz[SAP],MATCH(PlanLayout!T31,tblStellplatz[Stellplatz],0)),4),1)="0",RIGHT(INDEX(tblStellplatz[SAP],MATCH(PlanLayout!T31,tblStellplatz[Stellplatz],0)),5),RIGHT(INDEX(tblStellplatz[SAP],MATCH(PlanLayout!T31,tblStellplatz[Stellplatz],0)),4))),"?"))</f>
        <v/>
      </c>
      <c r="U31" s="4">
        <f>IF(PlanLayout!U31="","",PlanLayout!U31&amp;CHAR(10)&amp;IFERROR(IF(INDEX(tblStellplatz[SAP],MATCH(PlanLayout!U31,tblStellplatz[Stellplatz],0))="","leer",IF(LEFT(RIGHT(INDEX(tblStellplatz[SAP],MATCH(PlanLayout!U31,tblStellplatz[Stellplatz],0)),4),1)="0",RIGHT(INDEX(tblStellplatz[SAP],MATCH(PlanLayout!U31,tblStellplatz[Stellplatz],0)),5),RIGHT(INDEX(tblStellplatz[SAP],MATCH(PlanLayout!U31,tblStellplatz[Stellplatz],0)),4))),"?"))</f>
        <v/>
      </c>
      <c r="V31" s="4">
        <f>IF(PlanLayout!V31="","",PlanLayout!V31&amp;CHAR(10)&amp;IFERROR(IF(INDEX(tblStellplatz[SAP],MATCH(PlanLayout!V31,tblStellplatz[Stellplatz],0))="","leer",IF(LEFT(RIGHT(INDEX(tblStellplatz[SAP],MATCH(PlanLayout!V31,tblStellplatz[Stellplatz],0)),4),1)="0",RIGHT(INDEX(tblStellplatz[SAP],MATCH(PlanLayout!V31,tblStellplatz[Stellplatz],0)),5),RIGHT(INDEX(tblStellplatz[SAP],MATCH(PlanLayout!V31,tblStellplatz[Stellplatz],0)),4))),"?"))</f>
        <v/>
      </c>
      <c r="W31" s="4">
        <f>IF(PlanLayout!W31="","",PlanLayout!W31&amp;CHAR(10)&amp;IFERROR(IF(INDEX(tblStellplatz[SAP],MATCH(PlanLayout!W31,tblStellplatz[Stellplatz],0))="","leer",IF(LEFT(RIGHT(INDEX(tblStellplatz[SAP],MATCH(PlanLayout!W31,tblStellplatz[Stellplatz],0)),4),1)="0",RIGHT(INDEX(tblStellplatz[SAP],MATCH(PlanLayout!W31,tblStellplatz[Stellplatz],0)),5),RIGHT(INDEX(tblStellplatz[SAP],MATCH(PlanLayout!W31,tblStellplatz[Stellplatz],0)),4))),"?"))</f>
        <v/>
      </c>
      <c r="X31" s="4">
        <f>IF(PlanLayout!X31="","",PlanLayout!X31&amp;CHAR(10)&amp;IFERROR(IF(INDEX(tblStellplatz[SAP],MATCH(PlanLayout!X31,tblStellplatz[Stellplatz],0))="","leer",IF(LEFT(RIGHT(INDEX(tblStellplatz[SAP],MATCH(PlanLayout!X31,tblStellplatz[Stellplatz],0)),4),1)="0",RIGHT(INDEX(tblStellplatz[SAP],MATCH(PlanLayout!X31,tblStellplatz[Stellplatz],0)),5),RIGHT(INDEX(tblStellplatz[SAP],MATCH(PlanLayout!X31,tblStellplatz[Stellplatz],0)),4))),"?"))</f>
        <v/>
      </c>
      <c r="Y31" s="4">
        <f>IF(PlanLayout!Y31="","",PlanLayout!Y31&amp;CHAR(10)&amp;IFERROR(IF(INDEX(tblStellplatz[SAP],MATCH(PlanLayout!Y31,tblStellplatz[Stellplatz],0))="","leer",IF(LEFT(RIGHT(INDEX(tblStellplatz[SAP],MATCH(PlanLayout!Y31,tblStellplatz[Stellplatz],0)),4),1)="0",RIGHT(INDEX(tblStellplatz[SAP],MATCH(PlanLayout!Y31,tblStellplatz[Stellplatz],0)),5),RIGHT(INDEX(tblStellplatz[SAP],MATCH(PlanLayout!Y31,tblStellplatz[Stellplatz],0)),4))),"?"))</f>
        <v/>
      </c>
      <c r="Z31" s="4">
        <f>IF(PlanLayout!Z31="","",PlanLayout!Z31&amp;CHAR(10)&amp;IFERROR(IF(INDEX(tblStellplatz[SAP],MATCH(PlanLayout!Z31,tblStellplatz[Stellplatz],0))="","leer",IF(LEFT(RIGHT(INDEX(tblStellplatz[SAP],MATCH(PlanLayout!Z31,tblStellplatz[Stellplatz],0)),4),1)="0",RIGHT(INDEX(tblStellplatz[SAP],MATCH(PlanLayout!Z31,tblStellplatz[Stellplatz],0)),5),RIGHT(INDEX(tblStellplatz[SAP],MATCH(PlanLayout!Z31,tblStellplatz[Stellplatz],0)),4))),"?"))</f>
        <v/>
      </c>
      <c r="AA31" s="4">
        <f>IF(PlanLayout!AA31="","",PlanLayout!AA31&amp;CHAR(10)&amp;IFERROR(IF(INDEX(tblStellplatz[SAP],MATCH(PlanLayout!AA31,tblStellplatz[Stellplatz],0))="","leer",IF(LEFT(RIGHT(INDEX(tblStellplatz[SAP],MATCH(PlanLayout!AA31,tblStellplatz[Stellplatz],0)),4),1)="0",RIGHT(INDEX(tblStellplatz[SAP],MATCH(PlanLayout!AA31,tblStellplatz[Stellplatz],0)),5),RIGHT(INDEX(tblStellplatz[SAP],MATCH(PlanLayout!AA31,tblStellplatz[Stellplatz],0)),4))),"?"))</f>
        <v/>
      </c>
      <c r="AB31" s="4">
        <f>IF(PlanLayout!AB31="","",PlanLayout!AB31&amp;CHAR(10)&amp;IFERROR(IF(INDEX(tblStellplatz[SAP],MATCH(PlanLayout!AB31,tblStellplatz[Stellplatz],0))="","leer",IF(LEFT(RIGHT(INDEX(tblStellplatz[SAP],MATCH(PlanLayout!AB31,tblStellplatz[Stellplatz],0)),4),1)="0",RIGHT(INDEX(tblStellplatz[SAP],MATCH(PlanLayout!AB31,tblStellplatz[Stellplatz],0)),5),RIGHT(INDEX(tblStellplatz[SAP],MATCH(PlanLayout!AB31,tblStellplatz[Stellplatz],0)),4))),"?"))</f>
        <v/>
      </c>
      <c r="AC31" s="4">
        <f>IF(PlanLayout!AC31="","",PlanLayout!AC31&amp;CHAR(10)&amp;IFERROR(IF(INDEX(tblStellplatz[SAP],MATCH(PlanLayout!AC31,tblStellplatz[Stellplatz],0))="","leer",IF(LEFT(RIGHT(INDEX(tblStellplatz[SAP],MATCH(PlanLayout!AC31,tblStellplatz[Stellplatz],0)),4),1)="0",RIGHT(INDEX(tblStellplatz[SAP],MATCH(PlanLayout!AC31,tblStellplatz[Stellplatz],0)),5),RIGHT(INDEX(tblStellplatz[SAP],MATCH(PlanLayout!AC31,tblStellplatz[Stellplatz],0)),4))),"?"))</f>
        <v/>
      </c>
      <c r="AD31" s="4">
        <f>IF(PlanLayout!AD31="","",PlanLayout!AD31&amp;CHAR(10)&amp;IFERROR(IF(INDEX(tblStellplatz[SAP],MATCH(PlanLayout!AD31,tblStellplatz[Stellplatz],0))="","leer",IF(LEFT(RIGHT(INDEX(tblStellplatz[SAP],MATCH(PlanLayout!AD31,tblStellplatz[Stellplatz],0)),4),1)="0",RIGHT(INDEX(tblStellplatz[SAP],MATCH(PlanLayout!AD31,tblStellplatz[Stellplatz],0)),5),RIGHT(INDEX(tblStellplatz[SAP],MATCH(PlanLayout!AD31,tblStellplatz[Stellplatz],0)),4))),"?"))</f>
        <v/>
      </c>
      <c r="AE31" s="4">
        <f>IF(PlanLayout!AE31="","",PlanLayout!AE31&amp;CHAR(10)&amp;IFERROR(IF(INDEX(tblStellplatz[SAP],MATCH(PlanLayout!AE31,tblStellplatz[Stellplatz],0))="","leer",IF(LEFT(RIGHT(INDEX(tblStellplatz[SAP],MATCH(PlanLayout!AE31,tblStellplatz[Stellplatz],0)),4),1)="0",RIGHT(INDEX(tblStellplatz[SAP],MATCH(PlanLayout!AE31,tblStellplatz[Stellplatz],0)),5),RIGHT(INDEX(tblStellplatz[SAP],MATCH(PlanLayout!AE31,tblStellplatz[Stellplatz],0)),4))),"?"))</f>
        <v/>
      </c>
      <c r="AF31" s="4">
        <f>IF(PlanLayout!AF31="","",PlanLayout!AF31&amp;CHAR(10)&amp;IFERROR(IF(INDEX(tblStellplatz[SAP],MATCH(PlanLayout!AF31,tblStellplatz[Stellplatz],0))="","leer",IF(LEFT(RIGHT(INDEX(tblStellplatz[SAP],MATCH(PlanLayout!AF31,tblStellplatz[Stellplatz],0)),4),1)="0",RIGHT(INDEX(tblStellplatz[SAP],MATCH(PlanLayout!AF31,tblStellplatz[Stellplatz],0)),5),RIGHT(INDEX(tblStellplatz[SAP],MATCH(PlanLayout!AF31,tblStellplatz[Stellplatz],0)),4))),"?"))</f>
        <v/>
      </c>
      <c r="AG31" s="4">
        <f>IF(PlanLayout!AG31="","",PlanLayout!AG31&amp;CHAR(10)&amp;IFERROR(IF(INDEX(tblStellplatz[SAP],MATCH(PlanLayout!AG31,tblStellplatz[Stellplatz],0))="","leer",IF(LEFT(RIGHT(INDEX(tblStellplatz[SAP],MATCH(PlanLayout!AG31,tblStellplatz[Stellplatz],0)),4),1)="0",RIGHT(INDEX(tblStellplatz[SAP],MATCH(PlanLayout!AG31,tblStellplatz[Stellplatz],0)),5),RIGHT(INDEX(tblStellplatz[SAP],MATCH(PlanLayout!AG31,tblStellplatz[Stellplatz],0)),4))),"?"))</f>
        <v/>
      </c>
      <c r="AH31" s="4">
        <f>IF(PlanLayout!AH31="","",PlanLayout!AH31&amp;CHAR(10)&amp;IFERROR(IF(INDEX(tblStellplatz[SAP],MATCH(PlanLayout!AH31,tblStellplatz[Stellplatz],0))="","leer",IF(LEFT(RIGHT(INDEX(tblStellplatz[SAP],MATCH(PlanLayout!AH31,tblStellplatz[Stellplatz],0)),4),1)="0",RIGHT(INDEX(tblStellplatz[SAP],MATCH(PlanLayout!AH31,tblStellplatz[Stellplatz],0)),5),RIGHT(INDEX(tblStellplatz[SAP],MATCH(PlanLayout!AH31,tblStellplatz[Stellplatz],0)),4))),"?"))</f>
        <v/>
      </c>
      <c r="AI31" s="4">
        <f>IF(PlanLayout!AI31="","",PlanLayout!AI31&amp;CHAR(10)&amp;IFERROR(IF(INDEX(tblStellplatz[SAP],MATCH(PlanLayout!AI31,tblStellplatz[Stellplatz],0))="","leer",IF(LEFT(RIGHT(INDEX(tblStellplatz[SAP],MATCH(PlanLayout!AI31,tblStellplatz[Stellplatz],0)),4),1)="0",RIGHT(INDEX(tblStellplatz[SAP],MATCH(PlanLayout!AI31,tblStellplatz[Stellplatz],0)),5),RIGHT(INDEX(tblStellplatz[SAP],MATCH(PlanLayout!AI31,tblStellplatz[Stellplatz],0)),4))),"?"))</f>
        <v/>
      </c>
      <c r="AJ31" s="4">
        <f>IF(PlanLayout!AJ31="","",PlanLayout!AJ31&amp;CHAR(10)&amp;IFERROR(IF(INDEX(tblStellplatz[SAP],MATCH(PlanLayout!AJ31,tblStellplatz[Stellplatz],0))="","leer",IF(LEFT(RIGHT(INDEX(tblStellplatz[SAP],MATCH(PlanLayout!AJ31,tblStellplatz[Stellplatz],0)),4),1)="0",RIGHT(INDEX(tblStellplatz[SAP],MATCH(PlanLayout!AJ31,tblStellplatz[Stellplatz],0)),5),RIGHT(INDEX(tblStellplatz[SAP],MATCH(PlanLayout!AJ31,tblStellplatz[Stellplatz],0)),4))),"?"))</f>
        <v/>
      </c>
      <c r="AK31" s="4">
        <f>IF(PlanLayout!AK31="","",PlanLayout!AK31&amp;CHAR(10)&amp;IFERROR(IF(INDEX(tblStellplatz[SAP],MATCH(PlanLayout!AK31,tblStellplatz[Stellplatz],0))="","leer",IF(LEFT(RIGHT(INDEX(tblStellplatz[SAP],MATCH(PlanLayout!AK31,tblStellplatz[Stellplatz],0)),4),1)="0",RIGHT(INDEX(tblStellplatz[SAP],MATCH(PlanLayout!AK31,tblStellplatz[Stellplatz],0)),5),RIGHT(INDEX(tblStellplatz[SAP],MATCH(PlanLayout!AK31,tblStellplatz[Stellplatz],0)),4))),"?"))</f>
        <v/>
      </c>
      <c r="AL31" s="4">
        <f>IF(PlanLayout!AL31="","",PlanLayout!AL31&amp;CHAR(10)&amp;IFERROR(IF(INDEX(tblStellplatz[SAP],MATCH(PlanLayout!AL31,tblStellplatz[Stellplatz],0))="","leer",IF(LEFT(RIGHT(INDEX(tblStellplatz[SAP],MATCH(PlanLayout!AL31,tblStellplatz[Stellplatz],0)),4),1)="0",RIGHT(INDEX(tblStellplatz[SAP],MATCH(PlanLayout!AL31,tblStellplatz[Stellplatz],0)),5),RIGHT(INDEX(tblStellplatz[SAP],MATCH(PlanLayout!AL31,tblStellplatz[Stellplatz],0)),4))),"?"))</f>
        <v/>
      </c>
      <c r="AM31" s="4">
        <f>IF(PlanLayout!AM31="","",PlanLayout!AM31&amp;CHAR(10)&amp;IFERROR(IF(INDEX(tblStellplatz[SAP],MATCH(PlanLayout!AM31,tblStellplatz[Stellplatz],0))="","leer",IF(LEFT(RIGHT(INDEX(tblStellplatz[SAP],MATCH(PlanLayout!AM31,tblStellplatz[Stellplatz],0)),4),1)="0",RIGHT(INDEX(tblStellplatz[SAP],MATCH(PlanLayout!AM31,tblStellplatz[Stellplatz],0)),5),RIGHT(INDEX(tblStellplatz[SAP],MATCH(PlanLayout!AM31,tblStellplatz[Stellplatz],0)),4))),"?"))</f>
        <v/>
      </c>
      <c r="AN31" s="4">
        <f>IF(PlanLayout!AN31="","",PlanLayout!AN31&amp;CHAR(10)&amp;IFERROR(IF(INDEX(tblStellplatz[SAP],MATCH(PlanLayout!AN31,tblStellplatz[Stellplatz],0))="","leer",IF(LEFT(RIGHT(INDEX(tblStellplatz[SAP],MATCH(PlanLayout!AN31,tblStellplatz[Stellplatz],0)),4),1)="0",RIGHT(INDEX(tblStellplatz[SAP],MATCH(PlanLayout!AN31,tblStellplatz[Stellplatz],0)),5),RIGHT(INDEX(tblStellplatz[SAP],MATCH(PlanLayout!AN31,tblStellplatz[Stellplatz],0)),4))),"?"))</f>
        <v/>
      </c>
      <c r="AO31" s="4">
        <f>IF(PlanLayout!AO31="","",PlanLayout!AO31&amp;CHAR(10)&amp;IFERROR(IF(INDEX(tblStellplatz[SAP],MATCH(PlanLayout!AO31,tblStellplatz[Stellplatz],0))="","leer",IF(LEFT(RIGHT(INDEX(tblStellplatz[SAP],MATCH(PlanLayout!AO31,tblStellplatz[Stellplatz],0)),4),1)="0",RIGHT(INDEX(tblStellplatz[SAP],MATCH(PlanLayout!AO31,tblStellplatz[Stellplatz],0)),5),RIGHT(INDEX(tblStellplatz[SAP],MATCH(PlanLayout!AO31,tblStellplatz[Stellplatz],0)),4))),"?"))</f>
        <v/>
      </c>
    </row>
    <row r="32" ht="30" customHeight="1">
      <c r="B32" s="4">
        <f>IF(PlanLayout!B32="","",PlanLayout!B32&amp;CHAR(10)&amp;IFERROR(IF(INDEX(tblStellplatz[SAP],MATCH(PlanLayout!B32,tblStellplatz[Stellplatz],0))="","leer",IF(LEFT(RIGHT(INDEX(tblStellplatz[SAP],MATCH(PlanLayout!B32,tblStellplatz[Stellplatz],0)),4),1)="0",RIGHT(INDEX(tblStellplatz[SAP],MATCH(PlanLayout!B32,tblStellplatz[Stellplatz],0)),5),RIGHT(INDEX(tblStellplatz[SAP],MATCH(PlanLayout!B32,tblStellplatz[Stellplatz],0)),4))),"?"))</f>
        <v/>
      </c>
      <c r="C32" s="4">
        <f>IF(PlanLayout!C32="","",PlanLayout!C32&amp;CHAR(10)&amp;IFERROR(IF(INDEX(tblStellplatz[SAP],MATCH(PlanLayout!C32,tblStellplatz[Stellplatz],0))="","leer",IF(LEFT(RIGHT(INDEX(tblStellplatz[SAP],MATCH(PlanLayout!C32,tblStellplatz[Stellplatz],0)),4),1)="0",RIGHT(INDEX(tblStellplatz[SAP],MATCH(PlanLayout!C32,tblStellplatz[Stellplatz],0)),5),RIGHT(INDEX(tblStellplatz[SAP],MATCH(PlanLayout!C32,tblStellplatz[Stellplatz],0)),4))),"?"))</f>
        <v/>
      </c>
      <c r="D32" s="4">
        <f>IF(PlanLayout!D32="","",PlanLayout!D32&amp;CHAR(10)&amp;IFERROR(IF(INDEX(tblStellplatz[SAP],MATCH(PlanLayout!D32,tblStellplatz[Stellplatz],0))="","leer",IF(LEFT(RIGHT(INDEX(tblStellplatz[SAP],MATCH(PlanLayout!D32,tblStellplatz[Stellplatz],0)),4),1)="0",RIGHT(INDEX(tblStellplatz[SAP],MATCH(PlanLayout!D32,tblStellplatz[Stellplatz],0)),5),RIGHT(INDEX(tblStellplatz[SAP],MATCH(PlanLayout!D32,tblStellplatz[Stellplatz],0)),4))),"?"))</f>
        <v/>
      </c>
      <c r="E32" s="4">
        <f>IF(PlanLayout!E32="","",PlanLayout!E32&amp;CHAR(10)&amp;IFERROR(IF(INDEX(tblStellplatz[SAP],MATCH(PlanLayout!E32,tblStellplatz[Stellplatz],0))="","leer",IF(LEFT(RIGHT(INDEX(tblStellplatz[SAP],MATCH(PlanLayout!E32,tblStellplatz[Stellplatz],0)),4),1)="0",RIGHT(INDEX(tblStellplatz[SAP],MATCH(PlanLayout!E32,tblStellplatz[Stellplatz],0)),5),RIGHT(INDEX(tblStellplatz[SAP],MATCH(PlanLayout!E32,tblStellplatz[Stellplatz],0)),4))),"?"))</f>
        <v/>
      </c>
      <c r="F32" s="4">
        <f>IF(PlanLayout!F32="","",PlanLayout!F32&amp;CHAR(10)&amp;IFERROR(IF(INDEX(tblStellplatz[SAP],MATCH(PlanLayout!F32,tblStellplatz[Stellplatz],0))="","leer",IF(LEFT(RIGHT(INDEX(tblStellplatz[SAP],MATCH(PlanLayout!F32,tblStellplatz[Stellplatz],0)),4),1)="0",RIGHT(INDEX(tblStellplatz[SAP],MATCH(PlanLayout!F32,tblStellplatz[Stellplatz],0)),5),RIGHT(INDEX(tblStellplatz[SAP],MATCH(PlanLayout!F32,tblStellplatz[Stellplatz],0)),4))),"?"))</f>
        <v/>
      </c>
      <c r="G32" s="4">
        <f>IF(PlanLayout!G32="","",PlanLayout!G32&amp;CHAR(10)&amp;IFERROR(IF(INDEX(tblStellplatz[SAP],MATCH(PlanLayout!G32,tblStellplatz[Stellplatz],0))="","leer",IF(LEFT(RIGHT(INDEX(tblStellplatz[SAP],MATCH(PlanLayout!G32,tblStellplatz[Stellplatz],0)),4),1)="0",RIGHT(INDEX(tblStellplatz[SAP],MATCH(PlanLayout!G32,tblStellplatz[Stellplatz],0)),5),RIGHT(INDEX(tblStellplatz[SAP],MATCH(PlanLayout!G32,tblStellplatz[Stellplatz],0)),4))),"?"))</f>
        <v/>
      </c>
      <c r="H32" s="4">
        <f>IF(PlanLayout!H32="","",PlanLayout!H32&amp;CHAR(10)&amp;IFERROR(IF(INDEX(tblStellplatz[SAP],MATCH(PlanLayout!H32,tblStellplatz[Stellplatz],0))="","leer",IF(LEFT(RIGHT(INDEX(tblStellplatz[SAP],MATCH(PlanLayout!H32,tblStellplatz[Stellplatz],0)),4),1)="0",RIGHT(INDEX(tblStellplatz[SAP],MATCH(PlanLayout!H32,tblStellplatz[Stellplatz],0)),5),RIGHT(INDEX(tblStellplatz[SAP],MATCH(PlanLayout!H32,tblStellplatz[Stellplatz],0)),4))),"?"))</f>
        <v/>
      </c>
      <c r="I32" s="4">
        <f>IF(PlanLayout!I32="","",PlanLayout!I32&amp;CHAR(10)&amp;IFERROR(IF(INDEX(tblStellplatz[SAP],MATCH(PlanLayout!I32,tblStellplatz[Stellplatz],0))="","leer",IF(LEFT(RIGHT(INDEX(tblStellplatz[SAP],MATCH(PlanLayout!I32,tblStellplatz[Stellplatz],0)),4),1)="0",RIGHT(INDEX(tblStellplatz[SAP],MATCH(PlanLayout!I32,tblStellplatz[Stellplatz],0)),5),RIGHT(INDEX(tblStellplatz[SAP],MATCH(PlanLayout!I32,tblStellplatz[Stellplatz],0)),4))),"?"))</f>
        <v/>
      </c>
      <c r="J32" s="4">
        <f>IF(PlanLayout!J32="","",PlanLayout!J32&amp;CHAR(10)&amp;IFERROR(IF(INDEX(tblStellplatz[SAP],MATCH(PlanLayout!J32,tblStellplatz[Stellplatz],0))="","leer",IF(LEFT(RIGHT(INDEX(tblStellplatz[SAP],MATCH(PlanLayout!J32,tblStellplatz[Stellplatz],0)),4),1)="0",RIGHT(INDEX(tblStellplatz[SAP],MATCH(PlanLayout!J32,tblStellplatz[Stellplatz],0)),5),RIGHT(INDEX(tblStellplatz[SAP],MATCH(PlanLayout!J32,tblStellplatz[Stellplatz],0)),4))),"?"))</f>
        <v/>
      </c>
      <c r="K32" s="4">
        <f>IF(PlanLayout!K32="","",PlanLayout!K32&amp;CHAR(10)&amp;IFERROR(IF(INDEX(tblStellplatz[SAP],MATCH(PlanLayout!K32,tblStellplatz[Stellplatz],0))="","leer",IF(LEFT(RIGHT(INDEX(tblStellplatz[SAP],MATCH(PlanLayout!K32,tblStellplatz[Stellplatz],0)),4),1)="0",RIGHT(INDEX(tblStellplatz[SAP],MATCH(PlanLayout!K32,tblStellplatz[Stellplatz],0)),5),RIGHT(INDEX(tblStellplatz[SAP],MATCH(PlanLayout!K32,tblStellplatz[Stellplatz],0)),4))),"?"))</f>
        <v/>
      </c>
      <c r="L32" s="4">
        <f>IF(PlanLayout!L32="","",PlanLayout!L32&amp;CHAR(10)&amp;IFERROR(IF(INDEX(tblStellplatz[SAP],MATCH(PlanLayout!L32,tblStellplatz[Stellplatz],0))="","leer",IF(LEFT(RIGHT(INDEX(tblStellplatz[SAP],MATCH(PlanLayout!L32,tblStellplatz[Stellplatz],0)),4),1)="0",RIGHT(INDEX(tblStellplatz[SAP],MATCH(PlanLayout!L32,tblStellplatz[Stellplatz],0)),5),RIGHT(INDEX(tblStellplatz[SAP],MATCH(PlanLayout!L32,tblStellplatz[Stellplatz],0)),4))),"?"))</f>
        <v/>
      </c>
      <c r="M32" s="4">
        <f>IF(PlanLayout!M32="","",PlanLayout!M32&amp;CHAR(10)&amp;IFERROR(IF(INDEX(tblStellplatz[SAP],MATCH(PlanLayout!M32,tblStellplatz[Stellplatz],0))="","leer",IF(LEFT(RIGHT(INDEX(tblStellplatz[SAP],MATCH(PlanLayout!M32,tblStellplatz[Stellplatz],0)),4),1)="0",RIGHT(INDEX(tblStellplatz[SAP],MATCH(PlanLayout!M32,tblStellplatz[Stellplatz],0)),5),RIGHT(INDEX(tblStellplatz[SAP],MATCH(PlanLayout!M32,tblStellplatz[Stellplatz],0)),4))),"?"))</f>
        <v/>
      </c>
      <c r="N32" s="4">
        <f>IF(PlanLayout!N32="","",PlanLayout!N32&amp;CHAR(10)&amp;IFERROR(IF(INDEX(tblStellplatz[SAP],MATCH(PlanLayout!N32,tblStellplatz[Stellplatz],0))="","leer",IF(LEFT(RIGHT(INDEX(tblStellplatz[SAP],MATCH(PlanLayout!N32,tblStellplatz[Stellplatz],0)),4),1)="0",RIGHT(INDEX(tblStellplatz[SAP],MATCH(PlanLayout!N32,tblStellplatz[Stellplatz],0)),5),RIGHT(INDEX(tblStellplatz[SAP],MATCH(PlanLayout!N32,tblStellplatz[Stellplatz],0)),4))),"?"))</f>
        <v/>
      </c>
      <c r="O32" s="4">
        <f>IF(PlanLayout!O32="","",PlanLayout!O32&amp;CHAR(10)&amp;IFERROR(IF(INDEX(tblStellplatz[SAP],MATCH(PlanLayout!O32,tblStellplatz[Stellplatz],0))="","leer",IF(LEFT(RIGHT(INDEX(tblStellplatz[SAP],MATCH(PlanLayout!O32,tblStellplatz[Stellplatz],0)),4),1)="0",RIGHT(INDEX(tblStellplatz[SAP],MATCH(PlanLayout!O32,tblStellplatz[Stellplatz],0)),5),RIGHT(INDEX(tblStellplatz[SAP],MATCH(PlanLayout!O32,tblStellplatz[Stellplatz],0)),4))),"?"))</f>
        <v/>
      </c>
      <c r="P32" s="4">
        <f>IF(PlanLayout!P32="","",PlanLayout!P32&amp;CHAR(10)&amp;IFERROR(IF(INDEX(tblStellplatz[SAP],MATCH(PlanLayout!P32,tblStellplatz[Stellplatz],0))="","leer",IF(LEFT(RIGHT(INDEX(tblStellplatz[SAP],MATCH(PlanLayout!P32,tblStellplatz[Stellplatz],0)),4),1)="0",RIGHT(INDEX(tblStellplatz[SAP],MATCH(PlanLayout!P32,tblStellplatz[Stellplatz],0)),5),RIGHT(INDEX(tblStellplatz[SAP],MATCH(PlanLayout!P32,tblStellplatz[Stellplatz],0)),4))),"?"))</f>
        <v/>
      </c>
      <c r="Q32" s="4">
        <f>IF(PlanLayout!Q32="","",PlanLayout!Q32&amp;CHAR(10)&amp;IFERROR(IF(INDEX(tblStellplatz[SAP],MATCH(PlanLayout!Q32,tblStellplatz[Stellplatz],0))="","leer",IF(LEFT(RIGHT(INDEX(tblStellplatz[SAP],MATCH(PlanLayout!Q32,tblStellplatz[Stellplatz],0)),4),1)="0",RIGHT(INDEX(tblStellplatz[SAP],MATCH(PlanLayout!Q32,tblStellplatz[Stellplatz],0)),5),RIGHT(INDEX(tblStellplatz[SAP],MATCH(PlanLayout!Q32,tblStellplatz[Stellplatz],0)),4))),"?"))</f>
        <v/>
      </c>
      <c r="R32" s="4">
        <f>IF(PlanLayout!R32="","",PlanLayout!R32&amp;CHAR(10)&amp;IFERROR(IF(INDEX(tblStellplatz[SAP],MATCH(PlanLayout!R32,tblStellplatz[Stellplatz],0))="","leer",IF(LEFT(RIGHT(INDEX(tblStellplatz[SAP],MATCH(PlanLayout!R32,tblStellplatz[Stellplatz],0)),4),1)="0",RIGHT(INDEX(tblStellplatz[SAP],MATCH(PlanLayout!R32,tblStellplatz[Stellplatz],0)),5),RIGHT(INDEX(tblStellplatz[SAP],MATCH(PlanLayout!R32,tblStellplatz[Stellplatz],0)),4))),"?"))</f>
        <v/>
      </c>
      <c r="S32" s="4">
        <f>IF(PlanLayout!S32="","",PlanLayout!S32&amp;CHAR(10)&amp;IFERROR(IF(INDEX(tblStellplatz[SAP],MATCH(PlanLayout!S32,tblStellplatz[Stellplatz],0))="","leer",IF(LEFT(RIGHT(INDEX(tblStellplatz[SAP],MATCH(PlanLayout!S32,tblStellplatz[Stellplatz],0)),4),1)="0",RIGHT(INDEX(tblStellplatz[SAP],MATCH(PlanLayout!S32,tblStellplatz[Stellplatz],0)),5),RIGHT(INDEX(tblStellplatz[SAP],MATCH(PlanLayout!S32,tblStellplatz[Stellplatz],0)),4))),"?"))</f>
        <v/>
      </c>
      <c r="T32" s="4">
        <f>IF(PlanLayout!T32="","",PlanLayout!T32&amp;CHAR(10)&amp;IFERROR(IF(INDEX(tblStellplatz[SAP],MATCH(PlanLayout!T32,tblStellplatz[Stellplatz],0))="","leer",IF(LEFT(RIGHT(INDEX(tblStellplatz[SAP],MATCH(PlanLayout!T32,tblStellplatz[Stellplatz],0)),4),1)="0",RIGHT(INDEX(tblStellplatz[SAP],MATCH(PlanLayout!T32,tblStellplatz[Stellplatz],0)),5),RIGHT(INDEX(tblStellplatz[SAP],MATCH(PlanLayout!T32,tblStellplatz[Stellplatz],0)),4))),"?"))</f>
        <v/>
      </c>
      <c r="U32" s="4">
        <f>IF(PlanLayout!U32="","",PlanLayout!U32&amp;CHAR(10)&amp;IFERROR(IF(INDEX(tblStellplatz[SAP],MATCH(PlanLayout!U32,tblStellplatz[Stellplatz],0))="","leer",IF(LEFT(RIGHT(INDEX(tblStellplatz[SAP],MATCH(PlanLayout!U32,tblStellplatz[Stellplatz],0)),4),1)="0",RIGHT(INDEX(tblStellplatz[SAP],MATCH(PlanLayout!U32,tblStellplatz[Stellplatz],0)),5),RIGHT(INDEX(tblStellplatz[SAP],MATCH(PlanLayout!U32,tblStellplatz[Stellplatz],0)),4))),"?"))</f>
        <v/>
      </c>
      <c r="V32" s="4">
        <f>IF(PlanLayout!V32="","",PlanLayout!V32&amp;CHAR(10)&amp;IFERROR(IF(INDEX(tblStellplatz[SAP],MATCH(PlanLayout!V32,tblStellplatz[Stellplatz],0))="","leer",IF(LEFT(RIGHT(INDEX(tblStellplatz[SAP],MATCH(PlanLayout!V32,tblStellplatz[Stellplatz],0)),4),1)="0",RIGHT(INDEX(tblStellplatz[SAP],MATCH(PlanLayout!V32,tblStellplatz[Stellplatz],0)),5),RIGHT(INDEX(tblStellplatz[SAP],MATCH(PlanLayout!V32,tblStellplatz[Stellplatz],0)),4))),"?"))</f>
        <v/>
      </c>
      <c r="W32" s="4">
        <f>IF(PlanLayout!W32="","",PlanLayout!W32&amp;CHAR(10)&amp;IFERROR(IF(INDEX(tblStellplatz[SAP],MATCH(PlanLayout!W32,tblStellplatz[Stellplatz],0))="","leer",IF(LEFT(RIGHT(INDEX(tblStellplatz[SAP],MATCH(PlanLayout!W32,tblStellplatz[Stellplatz],0)),4),1)="0",RIGHT(INDEX(tblStellplatz[SAP],MATCH(PlanLayout!W32,tblStellplatz[Stellplatz],0)),5),RIGHT(INDEX(tblStellplatz[SAP],MATCH(PlanLayout!W32,tblStellplatz[Stellplatz],0)),4))),"?"))</f>
        <v/>
      </c>
      <c r="X32" s="4">
        <f>IF(PlanLayout!X32="","",PlanLayout!X32&amp;CHAR(10)&amp;IFERROR(IF(INDEX(tblStellplatz[SAP],MATCH(PlanLayout!X32,tblStellplatz[Stellplatz],0))="","leer",IF(LEFT(RIGHT(INDEX(tblStellplatz[SAP],MATCH(PlanLayout!X32,tblStellplatz[Stellplatz],0)),4),1)="0",RIGHT(INDEX(tblStellplatz[SAP],MATCH(PlanLayout!X32,tblStellplatz[Stellplatz],0)),5),RIGHT(INDEX(tblStellplatz[SAP],MATCH(PlanLayout!X32,tblStellplatz[Stellplatz],0)),4))),"?"))</f>
        <v/>
      </c>
      <c r="Y32" s="4">
        <f>IF(PlanLayout!Y32="","",PlanLayout!Y32&amp;CHAR(10)&amp;IFERROR(IF(INDEX(tblStellplatz[SAP],MATCH(PlanLayout!Y32,tblStellplatz[Stellplatz],0))="","leer",IF(LEFT(RIGHT(INDEX(tblStellplatz[SAP],MATCH(PlanLayout!Y32,tblStellplatz[Stellplatz],0)),4),1)="0",RIGHT(INDEX(tblStellplatz[SAP],MATCH(PlanLayout!Y32,tblStellplatz[Stellplatz],0)),5),RIGHT(INDEX(tblStellplatz[SAP],MATCH(PlanLayout!Y32,tblStellplatz[Stellplatz],0)),4))),"?"))</f>
        <v/>
      </c>
      <c r="Z32" s="4">
        <f>IF(PlanLayout!Z32="","",PlanLayout!Z32&amp;CHAR(10)&amp;IFERROR(IF(INDEX(tblStellplatz[SAP],MATCH(PlanLayout!Z32,tblStellplatz[Stellplatz],0))="","leer",IF(LEFT(RIGHT(INDEX(tblStellplatz[SAP],MATCH(PlanLayout!Z32,tblStellplatz[Stellplatz],0)),4),1)="0",RIGHT(INDEX(tblStellplatz[SAP],MATCH(PlanLayout!Z32,tblStellplatz[Stellplatz],0)),5),RIGHT(INDEX(tblStellplatz[SAP],MATCH(PlanLayout!Z32,tblStellplatz[Stellplatz],0)),4))),"?"))</f>
        <v/>
      </c>
      <c r="AA32" s="4">
        <f>IF(PlanLayout!AA32="","",PlanLayout!AA32&amp;CHAR(10)&amp;IFERROR(IF(INDEX(tblStellplatz[SAP],MATCH(PlanLayout!AA32,tblStellplatz[Stellplatz],0))="","leer",IF(LEFT(RIGHT(INDEX(tblStellplatz[SAP],MATCH(PlanLayout!AA32,tblStellplatz[Stellplatz],0)),4),1)="0",RIGHT(INDEX(tblStellplatz[SAP],MATCH(PlanLayout!AA32,tblStellplatz[Stellplatz],0)),5),RIGHT(INDEX(tblStellplatz[SAP],MATCH(PlanLayout!AA32,tblStellplatz[Stellplatz],0)),4))),"?"))</f>
        <v/>
      </c>
      <c r="AB32" s="4">
        <f>IF(PlanLayout!AB32="","",PlanLayout!AB32&amp;CHAR(10)&amp;IFERROR(IF(INDEX(tblStellplatz[SAP],MATCH(PlanLayout!AB32,tblStellplatz[Stellplatz],0))="","leer",IF(LEFT(RIGHT(INDEX(tblStellplatz[SAP],MATCH(PlanLayout!AB32,tblStellplatz[Stellplatz],0)),4),1)="0",RIGHT(INDEX(tblStellplatz[SAP],MATCH(PlanLayout!AB32,tblStellplatz[Stellplatz],0)),5),RIGHT(INDEX(tblStellplatz[SAP],MATCH(PlanLayout!AB32,tblStellplatz[Stellplatz],0)),4))),"?"))</f>
        <v/>
      </c>
      <c r="AC32" s="4">
        <f>IF(PlanLayout!AC32="","",PlanLayout!AC32&amp;CHAR(10)&amp;IFERROR(IF(INDEX(tblStellplatz[SAP],MATCH(PlanLayout!AC32,tblStellplatz[Stellplatz],0))="","leer",IF(LEFT(RIGHT(INDEX(tblStellplatz[SAP],MATCH(PlanLayout!AC32,tblStellplatz[Stellplatz],0)),4),1)="0",RIGHT(INDEX(tblStellplatz[SAP],MATCH(PlanLayout!AC32,tblStellplatz[Stellplatz],0)),5),RIGHT(INDEX(tblStellplatz[SAP],MATCH(PlanLayout!AC32,tblStellplatz[Stellplatz],0)),4))),"?"))</f>
        <v/>
      </c>
      <c r="AD32" s="4">
        <f>IF(PlanLayout!AD32="","",PlanLayout!AD32&amp;CHAR(10)&amp;IFERROR(IF(INDEX(tblStellplatz[SAP],MATCH(PlanLayout!AD32,tblStellplatz[Stellplatz],0))="","leer",IF(LEFT(RIGHT(INDEX(tblStellplatz[SAP],MATCH(PlanLayout!AD32,tblStellplatz[Stellplatz],0)),4),1)="0",RIGHT(INDEX(tblStellplatz[SAP],MATCH(PlanLayout!AD32,tblStellplatz[Stellplatz],0)),5),RIGHT(INDEX(tblStellplatz[SAP],MATCH(PlanLayout!AD32,tblStellplatz[Stellplatz],0)),4))),"?"))</f>
        <v/>
      </c>
      <c r="AE32" s="4">
        <f>IF(PlanLayout!AE32="","",PlanLayout!AE32&amp;CHAR(10)&amp;IFERROR(IF(INDEX(tblStellplatz[SAP],MATCH(PlanLayout!AE32,tblStellplatz[Stellplatz],0))="","leer",IF(LEFT(RIGHT(INDEX(tblStellplatz[SAP],MATCH(PlanLayout!AE32,tblStellplatz[Stellplatz],0)),4),1)="0",RIGHT(INDEX(tblStellplatz[SAP],MATCH(PlanLayout!AE32,tblStellplatz[Stellplatz],0)),5),RIGHT(INDEX(tblStellplatz[SAP],MATCH(PlanLayout!AE32,tblStellplatz[Stellplatz],0)),4))),"?"))</f>
        <v/>
      </c>
      <c r="AF32" s="4">
        <f>IF(PlanLayout!AF32="","",PlanLayout!AF32&amp;CHAR(10)&amp;IFERROR(IF(INDEX(tblStellplatz[SAP],MATCH(PlanLayout!AF32,tblStellplatz[Stellplatz],0))="","leer",IF(LEFT(RIGHT(INDEX(tblStellplatz[SAP],MATCH(PlanLayout!AF32,tblStellplatz[Stellplatz],0)),4),1)="0",RIGHT(INDEX(tblStellplatz[SAP],MATCH(PlanLayout!AF32,tblStellplatz[Stellplatz],0)),5),RIGHT(INDEX(tblStellplatz[SAP],MATCH(PlanLayout!AF32,tblStellplatz[Stellplatz],0)),4))),"?"))</f>
        <v/>
      </c>
      <c r="AG32" s="4">
        <f>IF(PlanLayout!AG32="","",PlanLayout!AG32&amp;CHAR(10)&amp;IFERROR(IF(INDEX(tblStellplatz[SAP],MATCH(PlanLayout!AG32,tblStellplatz[Stellplatz],0))="","leer",IF(LEFT(RIGHT(INDEX(tblStellplatz[SAP],MATCH(PlanLayout!AG32,tblStellplatz[Stellplatz],0)),4),1)="0",RIGHT(INDEX(tblStellplatz[SAP],MATCH(PlanLayout!AG32,tblStellplatz[Stellplatz],0)),5),RIGHT(INDEX(tblStellplatz[SAP],MATCH(PlanLayout!AG32,tblStellplatz[Stellplatz],0)),4))),"?"))</f>
        <v/>
      </c>
      <c r="AH32" s="4">
        <f>IF(PlanLayout!AH32="","",PlanLayout!AH32&amp;CHAR(10)&amp;IFERROR(IF(INDEX(tblStellplatz[SAP],MATCH(PlanLayout!AH32,tblStellplatz[Stellplatz],0))="","leer",IF(LEFT(RIGHT(INDEX(tblStellplatz[SAP],MATCH(PlanLayout!AH32,tblStellplatz[Stellplatz],0)),4),1)="0",RIGHT(INDEX(tblStellplatz[SAP],MATCH(PlanLayout!AH32,tblStellplatz[Stellplatz],0)),5),RIGHT(INDEX(tblStellplatz[SAP],MATCH(PlanLayout!AH32,tblStellplatz[Stellplatz],0)),4))),"?"))</f>
        <v/>
      </c>
      <c r="AI32" s="4">
        <f>IF(PlanLayout!AI32="","",PlanLayout!AI32&amp;CHAR(10)&amp;IFERROR(IF(INDEX(tblStellplatz[SAP],MATCH(PlanLayout!AI32,tblStellplatz[Stellplatz],0))="","leer",IF(LEFT(RIGHT(INDEX(tblStellplatz[SAP],MATCH(PlanLayout!AI32,tblStellplatz[Stellplatz],0)),4),1)="0",RIGHT(INDEX(tblStellplatz[SAP],MATCH(PlanLayout!AI32,tblStellplatz[Stellplatz],0)),5),RIGHT(INDEX(tblStellplatz[SAP],MATCH(PlanLayout!AI32,tblStellplatz[Stellplatz],0)),4))),"?"))</f>
        <v/>
      </c>
      <c r="AJ32" s="4">
        <f>IF(PlanLayout!AJ32="","",PlanLayout!AJ32&amp;CHAR(10)&amp;IFERROR(IF(INDEX(tblStellplatz[SAP],MATCH(PlanLayout!AJ32,tblStellplatz[Stellplatz],0))="","leer",IF(LEFT(RIGHT(INDEX(tblStellplatz[SAP],MATCH(PlanLayout!AJ32,tblStellplatz[Stellplatz],0)),4),1)="0",RIGHT(INDEX(tblStellplatz[SAP],MATCH(PlanLayout!AJ32,tblStellplatz[Stellplatz],0)),5),RIGHT(INDEX(tblStellplatz[SAP],MATCH(PlanLayout!AJ32,tblStellplatz[Stellplatz],0)),4))),"?"))</f>
        <v/>
      </c>
      <c r="AK32" s="4">
        <f>IF(PlanLayout!AK32="","",PlanLayout!AK32&amp;CHAR(10)&amp;IFERROR(IF(INDEX(tblStellplatz[SAP],MATCH(PlanLayout!AK32,tblStellplatz[Stellplatz],0))="","leer",IF(LEFT(RIGHT(INDEX(tblStellplatz[SAP],MATCH(PlanLayout!AK32,tblStellplatz[Stellplatz],0)),4),1)="0",RIGHT(INDEX(tblStellplatz[SAP],MATCH(PlanLayout!AK32,tblStellplatz[Stellplatz],0)),5),RIGHT(INDEX(tblStellplatz[SAP],MATCH(PlanLayout!AK32,tblStellplatz[Stellplatz],0)),4))),"?"))</f>
        <v/>
      </c>
      <c r="AL32" s="4">
        <f>IF(PlanLayout!AL32="","",PlanLayout!AL32&amp;CHAR(10)&amp;IFERROR(IF(INDEX(tblStellplatz[SAP],MATCH(PlanLayout!AL32,tblStellplatz[Stellplatz],0))="","leer",IF(LEFT(RIGHT(INDEX(tblStellplatz[SAP],MATCH(PlanLayout!AL32,tblStellplatz[Stellplatz],0)),4),1)="0",RIGHT(INDEX(tblStellplatz[SAP],MATCH(PlanLayout!AL32,tblStellplatz[Stellplatz],0)),5),RIGHT(INDEX(tblStellplatz[SAP],MATCH(PlanLayout!AL32,tblStellplatz[Stellplatz],0)),4))),"?"))</f>
        <v/>
      </c>
      <c r="AM32" s="4">
        <f>IF(PlanLayout!AM32="","",PlanLayout!AM32&amp;CHAR(10)&amp;IFERROR(IF(INDEX(tblStellplatz[SAP],MATCH(PlanLayout!AM32,tblStellplatz[Stellplatz],0))="","leer",IF(LEFT(RIGHT(INDEX(tblStellplatz[SAP],MATCH(PlanLayout!AM32,tblStellplatz[Stellplatz],0)),4),1)="0",RIGHT(INDEX(tblStellplatz[SAP],MATCH(PlanLayout!AM32,tblStellplatz[Stellplatz],0)),5),RIGHT(INDEX(tblStellplatz[SAP],MATCH(PlanLayout!AM32,tblStellplatz[Stellplatz],0)),4))),"?"))</f>
        <v/>
      </c>
      <c r="AN32" s="4">
        <f>IF(PlanLayout!AN32="","",PlanLayout!AN32&amp;CHAR(10)&amp;IFERROR(IF(INDEX(tblStellplatz[SAP],MATCH(PlanLayout!AN32,tblStellplatz[Stellplatz],0))="","leer",IF(LEFT(RIGHT(INDEX(tblStellplatz[SAP],MATCH(PlanLayout!AN32,tblStellplatz[Stellplatz],0)),4),1)="0",RIGHT(INDEX(tblStellplatz[SAP],MATCH(PlanLayout!AN32,tblStellplatz[Stellplatz],0)),5),RIGHT(INDEX(tblStellplatz[SAP],MATCH(PlanLayout!AN32,tblStellplatz[Stellplatz],0)),4))),"?"))</f>
        <v/>
      </c>
      <c r="AO32" s="4">
        <f>IF(PlanLayout!AO32="","",PlanLayout!AO32&amp;CHAR(10)&amp;IFERROR(IF(INDEX(tblStellplatz[SAP],MATCH(PlanLayout!AO32,tblStellplatz[Stellplatz],0))="","leer",IF(LEFT(RIGHT(INDEX(tblStellplatz[SAP],MATCH(PlanLayout!AO32,tblStellplatz[Stellplatz],0)),4),1)="0",RIGHT(INDEX(tblStellplatz[SAP],MATCH(PlanLayout!AO32,tblStellplatz[Stellplatz],0)),5),RIGHT(INDEX(tblStellplatz[SAP],MATCH(PlanLayout!AO32,tblStellplatz[Stellplatz],0)),4))),"?"))</f>
        <v/>
      </c>
    </row>
    <row r="33" ht="30" customHeight="1">
      <c r="B33" s="4">
        <f>IF(PlanLayout!B33="","",PlanLayout!B33&amp;CHAR(10)&amp;IFERROR(IF(INDEX(tblStellplatz[SAP],MATCH(PlanLayout!B33,tblStellplatz[Stellplatz],0))="","leer",IF(LEFT(RIGHT(INDEX(tblStellplatz[SAP],MATCH(PlanLayout!B33,tblStellplatz[Stellplatz],0)),4),1)="0",RIGHT(INDEX(tblStellplatz[SAP],MATCH(PlanLayout!B33,tblStellplatz[Stellplatz],0)),5),RIGHT(INDEX(tblStellplatz[SAP],MATCH(PlanLayout!B33,tblStellplatz[Stellplatz],0)),4))),"?"))</f>
        <v/>
      </c>
      <c r="C33" s="4">
        <f>IF(PlanLayout!C33="","",PlanLayout!C33&amp;CHAR(10)&amp;IFERROR(IF(INDEX(tblStellplatz[SAP],MATCH(PlanLayout!C33,tblStellplatz[Stellplatz],0))="","leer",IF(LEFT(RIGHT(INDEX(tblStellplatz[SAP],MATCH(PlanLayout!C33,tblStellplatz[Stellplatz],0)),4),1)="0",RIGHT(INDEX(tblStellplatz[SAP],MATCH(PlanLayout!C33,tblStellplatz[Stellplatz],0)),5),RIGHT(INDEX(tblStellplatz[SAP],MATCH(PlanLayout!C33,tblStellplatz[Stellplatz],0)),4))),"?"))</f>
        <v/>
      </c>
      <c r="D33" s="4">
        <f>IF(PlanLayout!D33="","",PlanLayout!D33&amp;CHAR(10)&amp;IFERROR(IF(INDEX(tblStellplatz[SAP],MATCH(PlanLayout!D33,tblStellplatz[Stellplatz],0))="","leer",IF(LEFT(RIGHT(INDEX(tblStellplatz[SAP],MATCH(PlanLayout!D33,tblStellplatz[Stellplatz],0)),4),1)="0",RIGHT(INDEX(tblStellplatz[SAP],MATCH(PlanLayout!D33,tblStellplatz[Stellplatz],0)),5),RIGHT(INDEX(tblStellplatz[SAP],MATCH(PlanLayout!D33,tblStellplatz[Stellplatz],0)),4))),"?"))</f>
        <v/>
      </c>
      <c r="E33" s="4">
        <f>IF(PlanLayout!E33="","",PlanLayout!E33&amp;CHAR(10)&amp;IFERROR(IF(INDEX(tblStellplatz[SAP],MATCH(PlanLayout!E33,tblStellplatz[Stellplatz],0))="","leer",IF(LEFT(RIGHT(INDEX(tblStellplatz[SAP],MATCH(PlanLayout!E33,tblStellplatz[Stellplatz],0)),4),1)="0",RIGHT(INDEX(tblStellplatz[SAP],MATCH(PlanLayout!E33,tblStellplatz[Stellplatz],0)),5),RIGHT(INDEX(tblStellplatz[SAP],MATCH(PlanLayout!E33,tblStellplatz[Stellplatz],0)),4))),"?"))</f>
        <v/>
      </c>
      <c r="F33" s="4">
        <f>IF(PlanLayout!F33="","",PlanLayout!F33&amp;CHAR(10)&amp;IFERROR(IF(INDEX(tblStellplatz[SAP],MATCH(PlanLayout!F33,tblStellplatz[Stellplatz],0))="","leer",IF(LEFT(RIGHT(INDEX(tblStellplatz[SAP],MATCH(PlanLayout!F33,tblStellplatz[Stellplatz],0)),4),1)="0",RIGHT(INDEX(tblStellplatz[SAP],MATCH(PlanLayout!F33,tblStellplatz[Stellplatz],0)),5),RIGHT(INDEX(tblStellplatz[SAP],MATCH(PlanLayout!F33,tblStellplatz[Stellplatz],0)),4))),"?"))</f>
        <v/>
      </c>
      <c r="G33" s="4">
        <f>IF(PlanLayout!G33="","",PlanLayout!G33&amp;CHAR(10)&amp;IFERROR(IF(INDEX(tblStellplatz[SAP],MATCH(PlanLayout!G33,tblStellplatz[Stellplatz],0))="","leer",IF(LEFT(RIGHT(INDEX(tblStellplatz[SAP],MATCH(PlanLayout!G33,tblStellplatz[Stellplatz],0)),4),1)="0",RIGHT(INDEX(tblStellplatz[SAP],MATCH(PlanLayout!G33,tblStellplatz[Stellplatz],0)),5),RIGHT(INDEX(tblStellplatz[SAP],MATCH(PlanLayout!G33,tblStellplatz[Stellplatz],0)),4))),"?"))</f>
        <v/>
      </c>
      <c r="H33" s="4">
        <f>IF(PlanLayout!H33="","",PlanLayout!H33&amp;CHAR(10)&amp;IFERROR(IF(INDEX(tblStellplatz[SAP],MATCH(PlanLayout!H33,tblStellplatz[Stellplatz],0))="","leer",IF(LEFT(RIGHT(INDEX(tblStellplatz[SAP],MATCH(PlanLayout!H33,tblStellplatz[Stellplatz],0)),4),1)="0",RIGHT(INDEX(tblStellplatz[SAP],MATCH(PlanLayout!H33,tblStellplatz[Stellplatz],0)),5),RIGHT(INDEX(tblStellplatz[SAP],MATCH(PlanLayout!H33,tblStellplatz[Stellplatz],0)),4))),"?"))</f>
        <v/>
      </c>
      <c r="I33" s="4">
        <f>IF(PlanLayout!I33="","",PlanLayout!I33&amp;CHAR(10)&amp;IFERROR(IF(INDEX(tblStellplatz[SAP],MATCH(PlanLayout!I33,tblStellplatz[Stellplatz],0))="","leer",IF(LEFT(RIGHT(INDEX(tblStellplatz[SAP],MATCH(PlanLayout!I33,tblStellplatz[Stellplatz],0)),4),1)="0",RIGHT(INDEX(tblStellplatz[SAP],MATCH(PlanLayout!I33,tblStellplatz[Stellplatz],0)),5),RIGHT(INDEX(tblStellplatz[SAP],MATCH(PlanLayout!I33,tblStellplatz[Stellplatz],0)),4))),"?"))</f>
        <v/>
      </c>
      <c r="J33" s="4">
        <f>IF(PlanLayout!J33="","",PlanLayout!J33&amp;CHAR(10)&amp;IFERROR(IF(INDEX(tblStellplatz[SAP],MATCH(PlanLayout!J33,tblStellplatz[Stellplatz],0))="","leer",IF(LEFT(RIGHT(INDEX(tblStellplatz[SAP],MATCH(PlanLayout!J33,tblStellplatz[Stellplatz],0)),4),1)="0",RIGHT(INDEX(tblStellplatz[SAP],MATCH(PlanLayout!J33,tblStellplatz[Stellplatz],0)),5),RIGHT(INDEX(tblStellplatz[SAP],MATCH(PlanLayout!J33,tblStellplatz[Stellplatz],0)),4))),"?"))</f>
        <v/>
      </c>
      <c r="K33" s="4">
        <f>IF(PlanLayout!K33="","",PlanLayout!K33&amp;CHAR(10)&amp;IFERROR(IF(INDEX(tblStellplatz[SAP],MATCH(PlanLayout!K33,tblStellplatz[Stellplatz],0))="","leer",IF(LEFT(RIGHT(INDEX(tblStellplatz[SAP],MATCH(PlanLayout!K33,tblStellplatz[Stellplatz],0)),4),1)="0",RIGHT(INDEX(tblStellplatz[SAP],MATCH(PlanLayout!K33,tblStellplatz[Stellplatz],0)),5),RIGHT(INDEX(tblStellplatz[SAP],MATCH(PlanLayout!K33,tblStellplatz[Stellplatz],0)),4))),"?"))</f>
        <v/>
      </c>
      <c r="L33" s="4">
        <f>IF(PlanLayout!L33="","",PlanLayout!L33&amp;CHAR(10)&amp;IFERROR(IF(INDEX(tblStellplatz[SAP],MATCH(PlanLayout!L33,tblStellplatz[Stellplatz],0))="","leer",IF(LEFT(RIGHT(INDEX(tblStellplatz[SAP],MATCH(PlanLayout!L33,tblStellplatz[Stellplatz],0)),4),1)="0",RIGHT(INDEX(tblStellplatz[SAP],MATCH(PlanLayout!L33,tblStellplatz[Stellplatz],0)),5),RIGHT(INDEX(tblStellplatz[SAP],MATCH(PlanLayout!L33,tblStellplatz[Stellplatz],0)),4))),"?"))</f>
        <v/>
      </c>
      <c r="M33" s="4">
        <f>IF(PlanLayout!M33="","",PlanLayout!M33&amp;CHAR(10)&amp;IFERROR(IF(INDEX(tblStellplatz[SAP],MATCH(PlanLayout!M33,tblStellplatz[Stellplatz],0))="","leer",IF(LEFT(RIGHT(INDEX(tblStellplatz[SAP],MATCH(PlanLayout!M33,tblStellplatz[Stellplatz],0)),4),1)="0",RIGHT(INDEX(tblStellplatz[SAP],MATCH(PlanLayout!M33,tblStellplatz[Stellplatz],0)),5),RIGHT(INDEX(tblStellplatz[SAP],MATCH(PlanLayout!M33,tblStellplatz[Stellplatz],0)),4))),"?"))</f>
        <v/>
      </c>
      <c r="N33" s="4">
        <f>IF(PlanLayout!N33="","",PlanLayout!N33&amp;CHAR(10)&amp;IFERROR(IF(INDEX(tblStellplatz[SAP],MATCH(PlanLayout!N33,tblStellplatz[Stellplatz],0))="","leer",IF(LEFT(RIGHT(INDEX(tblStellplatz[SAP],MATCH(PlanLayout!N33,tblStellplatz[Stellplatz],0)),4),1)="0",RIGHT(INDEX(tblStellplatz[SAP],MATCH(PlanLayout!N33,tblStellplatz[Stellplatz],0)),5),RIGHT(INDEX(tblStellplatz[SAP],MATCH(PlanLayout!N33,tblStellplatz[Stellplatz],0)),4))),"?"))</f>
        <v/>
      </c>
      <c r="O33" s="4">
        <f>IF(PlanLayout!O33="","",PlanLayout!O33&amp;CHAR(10)&amp;IFERROR(IF(INDEX(tblStellplatz[SAP],MATCH(PlanLayout!O33,tblStellplatz[Stellplatz],0))="","leer",IF(LEFT(RIGHT(INDEX(tblStellplatz[SAP],MATCH(PlanLayout!O33,tblStellplatz[Stellplatz],0)),4),1)="0",RIGHT(INDEX(tblStellplatz[SAP],MATCH(PlanLayout!O33,tblStellplatz[Stellplatz],0)),5),RIGHT(INDEX(tblStellplatz[SAP],MATCH(PlanLayout!O33,tblStellplatz[Stellplatz],0)),4))),"?"))</f>
        <v/>
      </c>
      <c r="P33" s="4">
        <f>IF(PlanLayout!P33="","",PlanLayout!P33&amp;CHAR(10)&amp;IFERROR(IF(INDEX(tblStellplatz[SAP],MATCH(PlanLayout!P33,tblStellplatz[Stellplatz],0))="","leer",IF(LEFT(RIGHT(INDEX(tblStellplatz[SAP],MATCH(PlanLayout!P33,tblStellplatz[Stellplatz],0)),4),1)="0",RIGHT(INDEX(tblStellplatz[SAP],MATCH(PlanLayout!P33,tblStellplatz[Stellplatz],0)),5),RIGHT(INDEX(tblStellplatz[SAP],MATCH(PlanLayout!P33,tblStellplatz[Stellplatz],0)),4))),"?"))</f>
        <v/>
      </c>
      <c r="Q33" s="4">
        <f>IF(PlanLayout!Q33="","",PlanLayout!Q33&amp;CHAR(10)&amp;IFERROR(IF(INDEX(tblStellplatz[SAP],MATCH(PlanLayout!Q33,tblStellplatz[Stellplatz],0))="","leer",IF(LEFT(RIGHT(INDEX(tblStellplatz[SAP],MATCH(PlanLayout!Q33,tblStellplatz[Stellplatz],0)),4),1)="0",RIGHT(INDEX(tblStellplatz[SAP],MATCH(PlanLayout!Q33,tblStellplatz[Stellplatz],0)),5),RIGHT(INDEX(tblStellplatz[SAP],MATCH(PlanLayout!Q33,tblStellplatz[Stellplatz],0)),4))),"?"))</f>
        <v/>
      </c>
      <c r="R33" s="4">
        <f>IF(PlanLayout!R33="","",PlanLayout!R33&amp;CHAR(10)&amp;IFERROR(IF(INDEX(tblStellplatz[SAP],MATCH(PlanLayout!R33,tblStellplatz[Stellplatz],0))="","leer",IF(LEFT(RIGHT(INDEX(tblStellplatz[SAP],MATCH(PlanLayout!R33,tblStellplatz[Stellplatz],0)),4),1)="0",RIGHT(INDEX(tblStellplatz[SAP],MATCH(PlanLayout!R33,tblStellplatz[Stellplatz],0)),5),RIGHT(INDEX(tblStellplatz[SAP],MATCH(PlanLayout!R33,tblStellplatz[Stellplatz],0)),4))),"?"))</f>
        <v/>
      </c>
      <c r="S33" s="4">
        <f>IF(PlanLayout!S33="","",PlanLayout!S33&amp;CHAR(10)&amp;IFERROR(IF(INDEX(tblStellplatz[SAP],MATCH(PlanLayout!S33,tblStellplatz[Stellplatz],0))="","leer",IF(LEFT(RIGHT(INDEX(tblStellplatz[SAP],MATCH(PlanLayout!S33,tblStellplatz[Stellplatz],0)),4),1)="0",RIGHT(INDEX(tblStellplatz[SAP],MATCH(PlanLayout!S33,tblStellplatz[Stellplatz],0)),5),RIGHT(INDEX(tblStellplatz[SAP],MATCH(PlanLayout!S33,tblStellplatz[Stellplatz],0)),4))),"?"))</f>
        <v/>
      </c>
      <c r="T33" s="4">
        <f>IF(PlanLayout!T33="","",PlanLayout!T33&amp;CHAR(10)&amp;IFERROR(IF(INDEX(tblStellplatz[SAP],MATCH(PlanLayout!T33,tblStellplatz[Stellplatz],0))="","leer",IF(LEFT(RIGHT(INDEX(tblStellplatz[SAP],MATCH(PlanLayout!T33,tblStellplatz[Stellplatz],0)),4),1)="0",RIGHT(INDEX(tblStellplatz[SAP],MATCH(PlanLayout!T33,tblStellplatz[Stellplatz],0)),5),RIGHT(INDEX(tblStellplatz[SAP],MATCH(PlanLayout!T33,tblStellplatz[Stellplatz],0)),4))),"?"))</f>
        <v/>
      </c>
      <c r="U33" s="4">
        <f>IF(PlanLayout!U33="","",PlanLayout!U33&amp;CHAR(10)&amp;IFERROR(IF(INDEX(tblStellplatz[SAP],MATCH(PlanLayout!U33,tblStellplatz[Stellplatz],0))="","leer",IF(LEFT(RIGHT(INDEX(tblStellplatz[SAP],MATCH(PlanLayout!U33,tblStellplatz[Stellplatz],0)),4),1)="0",RIGHT(INDEX(tblStellplatz[SAP],MATCH(PlanLayout!U33,tblStellplatz[Stellplatz],0)),5),RIGHT(INDEX(tblStellplatz[SAP],MATCH(PlanLayout!U33,tblStellplatz[Stellplatz],0)),4))),"?"))</f>
        <v/>
      </c>
      <c r="V33" s="4">
        <f>IF(PlanLayout!V33="","",PlanLayout!V33&amp;CHAR(10)&amp;IFERROR(IF(INDEX(tblStellplatz[SAP],MATCH(PlanLayout!V33,tblStellplatz[Stellplatz],0))="","leer",IF(LEFT(RIGHT(INDEX(tblStellplatz[SAP],MATCH(PlanLayout!V33,tblStellplatz[Stellplatz],0)),4),1)="0",RIGHT(INDEX(tblStellplatz[SAP],MATCH(PlanLayout!V33,tblStellplatz[Stellplatz],0)),5),RIGHT(INDEX(tblStellplatz[SAP],MATCH(PlanLayout!V33,tblStellplatz[Stellplatz],0)),4))),"?"))</f>
        <v/>
      </c>
      <c r="W33" s="4">
        <f>IF(PlanLayout!W33="","",PlanLayout!W33&amp;CHAR(10)&amp;IFERROR(IF(INDEX(tblStellplatz[SAP],MATCH(PlanLayout!W33,tblStellplatz[Stellplatz],0))="","leer",IF(LEFT(RIGHT(INDEX(tblStellplatz[SAP],MATCH(PlanLayout!W33,tblStellplatz[Stellplatz],0)),4),1)="0",RIGHT(INDEX(tblStellplatz[SAP],MATCH(PlanLayout!W33,tblStellplatz[Stellplatz],0)),5),RIGHT(INDEX(tblStellplatz[SAP],MATCH(PlanLayout!W33,tblStellplatz[Stellplatz],0)),4))),"?"))</f>
        <v/>
      </c>
      <c r="X33" s="4">
        <f>IF(PlanLayout!X33="","",PlanLayout!X33&amp;CHAR(10)&amp;IFERROR(IF(INDEX(tblStellplatz[SAP],MATCH(PlanLayout!X33,tblStellplatz[Stellplatz],0))="","leer",IF(LEFT(RIGHT(INDEX(tblStellplatz[SAP],MATCH(PlanLayout!X33,tblStellplatz[Stellplatz],0)),4),1)="0",RIGHT(INDEX(tblStellplatz[SAP],MATCH(PlanLayout!X33,tblStellplatz[Stellplatz],0)),5),RIGHT(INDEX(tblStellplatz[SAP],MATCH(PlanLayout!X33,tblStellplatz[Stellplatz],0)),4))),"?"))</f>
        <v/>
      </c>
      <c r="Y33" s="4">
        <f>IF(PlanLayout!Y33="","",PlanLayout!Y33&amp;CHAR(10)&amp;IFERROR(IF(INDEX(tblStellplatz[SAP],MATCH(PlanLayout!Y33,tblStellplatz[Stellplatz],0))="","leer",IF(LEFT(RIGHT(INDEX(tblStellplatz[SAP],MATCH(PlanLayout!Y33,tblStellplatz[Stellplatz],0)),4),1)="0",RIGHT(INDEX(tblStellplatz[SAP],MATCH(PlanLayout!Y33,tblStellplatz[Stellplatz],0)),5),RIGHT(INDEX(tblStellplatz[SAP],MATCH(PlanLayout!Y33,tblStellplatz[Stellplatz],0)),4))),"?"))</f>
        <v/>
      </c>
      <c r="Z33" s="4">
        <f>IF(PlanLayout!Z33="","",PlanLayout!Z33&amp;CHAR(10)&amp;IFERROR(IF(INDEX(tblStellplatz[SAP],MATCH(PlanLayout!Z33,tblStellplatz[Stellplatz],0))="","leer",IF(LEFT(RIGHT(INDEX(tblStellplatz[SAP],MATCH(PlanLayout!Z33,tblStellplatz[Stellplatz],0)),4),1)="0",RIGHT(INDEX(tblStellplatz[SAP],MATCH(PlanLayout!Z33,tblStellplatz[Stellplatz],0)),5),RIGHT(INDEX(tblStellplatz[SAP],MATCH(PlanLayout!Z33,tblStellplatz[Stellplatz],0)),4))),"?"))</f>
        <v/>
      </c>
      <c r="AA33" s="4">
        <f>IF(PlanLayout!AA33="","",PlanLayout!AA33&amp;CHAR(10)&amp;IFERROR(IF(INDEX(tblStellplatz[SAP],MATCH(PlanLayout!AA33,tblStellplatz[Stellplatz],0))="","leer",IF(LEFT(RIGHT(INDEX(tblStellplatz[SAP],MATCH(PlanLayout!AA33,tblStellplatz[Stellplatz],0)),4),1)="0",RIGHT(INDEX(tblStellplatz[SAP],MATCH(PlanLayout!AA33,tblStellplatz[Stellplatz],0)),5),RIGHT(INDEX(tblStellplatz[SAP],MATCH(PlanLayout!AA33,tblStellplatz[Stellplatz],0)),4))),"?"))</f>
        <v/>
      </c>
      <c r="AB33" s="4">
        <f>IF(PlanLayout!AB33="","",PlanLayout!AB33&amp;CHAR(10)&amp;IFERROR(IF(INDEX(tblStellplatz[SAP],MATCH(PlanLayout!AB33,tblStellplatz[Stellplatz],0))="","leer",IF(LEFT(RIGHT(INDEX(tblStellplatz[SAP],MATCH(PlanLayout!AB33,tblStellplatz[Stellplatz],0)),4),1)="0",RIGHT(INDEX(tblStellplatz[SAP],MATCH(PlanLayout!AB33,tblStellplatz[Stellplatz],0)),5),RIGHT(INDEX(tblStellplatz[SAP],MATCH(PlanLayout!AB33,tblStellplatz[Stellplatz],0)),4))),"?"))</f>
        <v/>
      </c>
      <c r="AC33" s="4">
        <f>IF(PlanLayout!AC33="","",PlanLayout!AC33&amp;CHAR(10)&amp;IFERROR(IF(INDEX(tblStellplatz[SAP],MATCH(PlanLayout!AC33,tblStellplatz[Stellplatz],0))="","leer",IF(LEFT(RIGHT(INDEX(tblStellplatz[SAP],MATCH(PlanLayout!AC33,tblStellplatz[Stellplatz],0)),4),1)="0",RIGHT(INDEX(tblStellplatz[SAP],MATCH(PlanLayout!AC33,tblStellplatz[Stellplatz],0)),5),RIGHT(INDEX(tblStellplatz[SAP],MATCH(PlanLayout!AC33,tblStellplatz[Stellplatz],0)),4))),"?"))</f>
        <v/>
      </c>
      <c r="AD33" s="4">
        <f>IF(PlanLayout!AD33="","",PlanLayout!AD33&amp;CHAR(10)&amp;IFERROR(IF(INDEX(tblStellplatz[SAP],MATCH(PlanLayout!AD33,tblStellplatz[Stellplatz],0))="","leer",IF(LEFT(RIGHT(INDEX(tblStellplatz[SAP],MATCH(PlanLayout!AD33,tblStellplatz[Stellplatz],0)),4),1)="0",RIGHT(INDEX(tblStellplatz[SAP],MATCH(PlanLayout!AD33,tblStellplatz[Stellplatz],0)),5),RIGHT(INDEX(tblStellplatz[SAP],MATCH(PlanLayout!AD33,tblStellplatz[Stellplatz],0)),4))),"?"))</f>
        <v/>
      </c>
      <c r="AE33" s="4">
        <f>IF(PlanLayout!AE33="","",PlanLayout!AE33&amp;CHAR(10)&amp;IFERROR(IF(INDEX(tblStellplatz[SAP],MATCH(PlanLayout!AE33,tblStellplatz[Stellplatz],0))="","leer",IF(LEFT(RIGHT(INDEX(tblStellplatz[SAP],MATCH(PlanLayout!AE33,tblStellplatz[Stellplatz],0)),4),1)="0",RIGHT(INDEX(tblStellplatz[SAP],MATCH(PlanLayout!AE33,tblStellplatz[Stellplatz],0)),5),RIGHT(INDEX(tblStellplatz[SAP],MATCH(PlanLayout!AE33,tblStellplatz[Stellplatz],0)),4))),"?"))</f>
        <v/>
      </c>
      <c r="AF33" s="4">
        <f>IF(PlanLayout!AF33="","",PlanLayout!AF33&amp;CHAR(10)&amp;IFERROR(IF(INDEX(tblStellplatz[SAP],MATCH(PlanLayout!AF33,tblStellplatz[Stellplatz],0))="","leer",IF(LEFT(RIGHT(INDEX(tblStellplatz[SAP],MATCH(PlanLayout!AF33,tblStellplatz[Stellplatz],0)),4),1)="0",RIGHT(INDEX(tblStellplatz[SAP],MATCH(PlanLayout!AF33,tblStellplatz[Stellplatz],0)),5),RIGHT(INDEX(tblStellplatz[SAP],MATCH(PlanLayout!AF33,tblStellplatz[Stellplatz],0)),4))),"?"))</f>
        <v/>
      </c>
      <c r="AG33" s="4">
        <f>IF(PlanLayout!AG33="","",PlanLayout!AG33&amp;CHAR(10)&amp;IFERROR(IF(INDEX(tblStellplatz[SAP],MATCH(PlanLayout!AG33,tblStellplatz[Stellplatz],0))="","leer",IF(LEFT(RIGHT(INDEX(tblStellplatz[SAP],MATCH(PlanLayout!AG33,tblStellplatz[Stellplatz],0)),4),1)="0",RIGHT(INDEX(tblStellplatz[SAP],MATCH(PlanLayout!AG33,tblStellplatz[Stellplatz],0)),5),RIGHT(INDEX(tblStellplatz[SAP],MATCH(PlanLayout!AG33,tblStellplatz[Stellplatz],0)),4))),"?"))</f>
        <v/>
      </c>
      <c r="AH33" s="4">
        <f>IF(PlanLayout!AH33="","",PlanLayout!AH33&amp;CHAR(10)&amp;IFERROR(IF(INDEX(tblStellplatz[SAP],MATCH(PlanLayout!AH33,tblStellplatz[Stellplatz],0))="","leer",IF(LEFT(RIGHT(INDEX(tblStellplatz[SAP],MATCH(PlanLayout!AH33,tblStellplatz[Stellplatz],0)),4),1)="0",RIGHT(INDEX(tblStellplatz[SAP],MATCH(PlanLayout!AH33,tblStellplatz[Stellplatz],0)),5),RIGHT(INDEX(tblStellplatz[SAP],MATCH(PlanLayout!AH33,tblStellplatz[Stellplatz],0)),4))),"?"))</f>
        <v/>
      </c>
      <c r="AI33" s="4">
        <f>IF(PlanLayout!AI33="","",PlanLayout!AI33&amp;CHAR(10)&amp;IFERROR(IF(INDEX(tblStellplatz[SAP],MATCH(PlanLayout!AI33,tblStellplatz[Stellplatz],0))="","leer",IF(LEFT(RIGHT(INDEX(tblStellplatz[SAP],MATCH(PlanLayout!AI33,tblStellplatz[Stellplatz],0)),4),1)="0",RIGHT(INDEX(tblStellplatz[SAP],MATCH(PlanLayout!AI33,tblStellplatz[Stellplatz],0)),5),RIGHT(INDEX(tblStellplatz[SAP],MATCH(PlanLayout!AI33,tblStellplatz[Stellplatz],0)),4))),"?"))</f>
        <v/>
      </c>
      <c r="AJ33" s="4">
        <f>IF(PlanLayout!AJ33="","",PlanLayout!AJ33&amp;CHAR(10)&amp;IFERROR(IF(INDEX(tblStellplatz[SAP],MATCH(PlanLayout!AJ33,tblStellplatz[Stellplatz],0))="","leer",IF(LEFT(RIGHT(INDEX(tblStellplatz[SAP],MATCH(PlanLayout!AJ33,tblStellplatz[Stellplatz],0)),4),1)="0",RIGHT(INDEX(tblStellplatz[SAP],MATCH(PlanLayout!AJ33,tblStellplatz[Stellplatz],0)),5),RIGHT(INDEX(tblStellplatz[SAP],MATCH(PlanLayout!AJ33,tblStellplatz[Stellplatz],0)),4))),"?"))</f>
        <v/>
      </c>
      <c r="AK33" s="4">
        <f>IF(PlanLayout!AK33="","",PlanLayout!AK33&amp;CHAR(10)&amp;IFERROR(IF(INDEX(tblStellplatz[SAP],MATCH(PlanLayout!AK33,tblStellplatz[Stellplatz],0))="","leer",IF(LEFT(RIGHT(INDEX(tblStellplatz[SAP],MATCH(PlanLayout!AK33,tblStellplatz[Stellplatz],0)),4),1)="0",RIGHT(INDEX(tblStellplatz[SAP],MATCH(PlanLayout!AK33,tblStellplatz[Stellplatz],0)),5),RIGHT(INDEX(tblStellplatz[SAP],MATCH(PlanLayout!AK33,tblStellplatz[Stellplatz],0)),4))),"?"))</f>
        <v/>
      </c>
      <c r="AL33" s="4">
        <f>IF(PlanLayout!AL33="","",PlanLayout!AL33&amp;CHAR(10)&amp;IFERROR(IF(INDEX(tblStellplatz[SAP],MATCH(PlanLayout!AL33,tblStellplatz[Stellplatz],0))="","leer",IF(LEFT(RIGHT(INDEX(tblStellplatz[SAP],MATCH(PlanLayout!AL33,tblStellplatz[Stellplatz],0)),4),1)="0",RIGHT(INDEX(tblStellplatz[SAP],MATCH(PlanLayout!AL33,tblStellplatz[Stellplatz],0)),5),RIGHT(INDEX(tblStellplatz[SAP],MATCH(PlanLayout!AL33,tblStellplatz[Stellplatz],0)),4))),"?"))</f>
        <v/>
      </c>
      <c r="AM33" s="4">
        <f>IF(PlanLayout!AM33="","",PlanLayout!AM33&amp;CHAR(10)&amp;IFERROR(IF(INDEX(tblStellplatz[SAP],MATCH(PlanLayout!AM33,tblStellplatz[Stellplatz],0))="","leer",IF(LEFT(RIGHT(INDEX(tblStellplatz[SAP],MATCH(PlanLayout!AM33,tblStellplatz[Stellplatz],0)),4),1)="0",RIGHT(INDEX(tblStellplatz[SAP],MATCH(PlanLayout!AM33,tblStellplatz[Stellplatz],0)),5),RIGHT(INDEX(tblStellplatz[SAP],MATCH(PlanLayout!AM33,tblStellplatz[Stellplatz],0)),4))),"?"))</f>
        <v/>
      </c>
      <c r="AN33" s="4">
        <f>IF(PlanLayout!AN33="","",PlanLayout!AN33&amp;CHAR(10)&amp;IFERROR(IF(INDEX(tblStellplatz[SAP],MATCH(PlanLayout!AN33,tblStellplatz[Stellplatz],0))="","leer",IF(LEFT(RIGHT(INDEX(tblStellplatz[SAP],MATCH(PlanLayout!AN33,tblStellplatz[Stellplatz],0)),4),1)="0",RIGHT(INDEX(tblStellplatz[SAP],MATCH(PlanLayout!AN33,tblStellplatz[Stellplatz],0)),5),RIGHT(INDEX(tblStellplatz[SAP],MATCH(PlanLayout!AN33,tblStellplatz[Stellplatz],0)),4))),"?"))</f>
        <v/>
      </c>
      <c r="AO33" s="4">
        <f>IF(PlanLayout!AO33="","",PlanLayout!AO33&amp;CHAR(10)&amp;IFERROR(IF(INDEX(tblStellplatz[SAP],MATCH(PlanLayout!AO33,tblStellplatz[Stellplatz],0))="","leer",IF(LEFT(RIGHT(INDEX(tblStellplatz[SAP],MATCH(PlanLayout!AO33,tblStellplatz[Stellplatz],0)),4),1)="0",RIGHT(INDEX(tblStellplatz[SAP],MATCH(PlanLayout!AO33,tblStellplatz[Stellplatz],0)),5),RIGHT(INDEX(tblStellplatz[SAP],MATCH(PlanLayout!AO33,tblStellplatz[Stellplatz],0)),4))),"?"))</f>
        <v/>
      </c>
    </row>
    <row r="34" ht="30" customHeight="1">
      <c r="B34" s="4">
        <f>IF(PlanLayout!B34="","",PlanLayout!B34&amp;CHAR(10)&amp;IFERROR(IF(INDEX(tblStellplatz[SAP],MATCH(PlanLayout!B34,tblStellplatz[Stellplatz],0))="","leer",IF(LEFT(RIGHT(INDEX(tblStellplatz[SAP],MATCH(PlanLayout!B34,tblStellplatz[Stellplatz],0)),4),1)="0",RIGHT(INDEX(tblStellplatz[SAP],MATCH(PlanLayout!B34,tblStellplatz[Stellplatz],0)),5),RIGHT(INDEX(tblStellplatz[SAP],MATCH(PlanLayout!B34,tblStellplatz[Stellplatz],0)),4))),"?"))</f>
        <v/>
      </c>
      <c r="C34" s="4">
        <f>IF(PlanLayout!C34="","",PlanLayout!C34&amp;CHAR(10)&amp;IFERROR(IF(INDEX(tblStellplatz[SAP],MATCH(PlanLayout!C34,tblStellplatz[Stellplatz],0))="","leer",IF(LEFT(RIGHT(INDEX(tblStellplatz[SAP],MATCH(PlanLayout!C34,tblStellplatz[Stellplatz],0)),4),1)="0",RIGHT(INDEX(tblStellplatz[SAP],MATCH(PlanLayout!C34,tblStellplatz[Stellplatz],0)),5),RIGHT(INDEX(tblStellplatz[SAP],MATCH(PlanLayout!C34,tblStellplatz[Stellplatz],0)),4))),"?"))</f>
        <v/>
      </c>
      <c r="D34" s="4">
        <f>IF(PlanLayout!D34="","",PlanLayout!D34&amp;CHAR(10)&amp;IFERROR(IF(INDEX(tblStellplatz[SAP],MATCH(PlanLayout!D34,tblStellplatz[Stellplatz],0))="","leer",IF(LEFT(RIGHT(INDEX(tblStellplatz[SAP],MATCH(PlanLayout!D34,tblStellplatz[Stellplatz],0)),4),1)="0",RIGHT(INDEX(tblStellplatz[SAP],MATCH(PlanLayout!D34,tblStellplatz[Stellplatz],0)),5),RIGHT(INDEX(tblStellplatz[SAP],MATCH(PlanLayout!D34,tblStellplatz[Stellplatz],0)),4))),"?"))</f>
        <v/>
      </c>
      <c r="E34" s="4">
        <f>IF(PlanLayout!E34="","",PlanLayout!E34&amp;CHAR(10)&amp;IFERROR(IF(INDEX(tblStellplatz[SAP],MATCH(PlanLayout!E34,tblStellplatz[Stellplatz],0))="","leer",IF(LEFT(RIGHT(INDEX(tblStellplatz[SAP],MATCH(PlanLayout!E34,tblStellplatz[Stellplatz],0)),4),1)="0",RIGHT(INDEX(tblStellplatz[SAP],MATCH(PlanLayout!E34,tblStellplatz[Stellplatz],0)),5),RIGHT(INDEX(tblStellplatz[SAP],MATCH(PlanLayout!E34,tblStellplatz[Stellplatz],0)),4))),"?"))</f>
        <v/>
      </c>
      <c r="F34" s="4">
        <f>IF(PlanLayout!F34="","",PlanLayout!F34&amp;CHAR(10)&amp;IFERROR(IF(INDEX(tblStellplatz[SAP],MATCH(PlanLayout!F34,tblStellplatz[Stellplatz],0))="","leer",IF(LEFT(RIGHT(INDEX(tblStellplatz[SAP],MATCH(PlanLayout!F34,tblStellplatz[Stellplatz],0)),4),1)="0",RIGHT(INDEX(tblStellplatz[SAP],MATCH(PlanLayout!F34,tblStellplatz[Stellplatz],0)),5),RIGHT(INDEX(tblStellplatz[SAP],MATCH(PlanLayout!F34,tblStellplatz[Stellplatz],0)),4))),"?"))</f>
        <v/>
      </c>
      <c r="G34" s="4">
        <f>IF(PlanLayout!G34="","",PlanLayout!G34&amp;CHAR(10)&amp;IFERROR(IF(INDEX(tblStellplatz[SAP],MATCH(PlanLayout!G34,tblStellplatz[Stellplatz],0))="","leer",IF(LEFT(RIGHT(INDEX(tblStellplatz[SAP],MATCH(PlanLayout!G34,tblStellplatz[Stellplatz],0)),4),1)="0",RIGHT(INDEX(tblStellplatz[SAP],MATCH(PlanLayout!G34,tblStellplatz[Stellplatz],0)),5),RIGHT(INDEX(tblStellplatz[SAP],MATCH(PlanLayout!G34,tblStellplatz[Stellplatz],0)),4))),"?"))</f>
        <v/>
      </c>
      <c r="H34" s="4">
        <f>IF(PlanLayout!H34="","",PlanLayout!H34&amp;CHAR(10)&amp;IFERROR(IF(INDEX(tblStellplatz[SAP],MATCH(PlanLayout!H34,tblStellplatz[Stellplatz],0))="","leer",IF(LEFT(RIGHT(INDEX(tblStellplatz[SAP],MATCH(PlanLayout!H34,tblStellplatz[Stellplatz],0)),4),1)="0",RIGHT(INDEX(tblStellplatz[SAP],MATCH(PlanLayout!H34,tblStellplatz[Stellplatz],0)),5),RIGHT(INDEX(tblStellplatz[SAP],MATCH(PlanLayout!H34,tblStellplatz[Stellplatz],0)),4))),"?"))</f>
        <v/>
      </c>
      <c r="I34" s="4">
        <f>IF(PlanLayout!I34="","",PlanLayout!I34&amp;CHAR(10)&amp;IFERROR(IF(INDEX(tblStellplatz[SAP],MATCH(PlanLayout!I34,tblStellplatz[Stellplatz],0))="","leer",IF(LEFT(RIGHT(INDEX(tblStellplatz[SAP],MATCH(PlanLayout!I34,tblStellplatz[Stellplatz],0)),4),1)="0",RIGHT(INDEX(tblStellplatz[SAP],MATCH(PlanLayout!I34,tblStellplatz[Stellplatz],0)),5),RIGHT(INDEX(tblStellplatz[SAP],MATCH(PlanLayout!I34,tblStellplatz[Stellplatz],0)),4))),"?"))</f>
        <v/>
      </c>
      <c r="J34" s="4">
        <f>IF(PlanLayout!J34="","",PlanLayout!J34&amp;CHAR(10)&amp;IFERROR(IF(INDEX(tblStellplatz[SAP],MATCH(PlanLayout!J34,tblStellplatz[Stellplatz],0))="","leer",IF(LEFT(RIGHT(INDEX(tblStellplatz[SAP],MATCH(PlanLayout!J34,tblStellplatz[Stellplatz],0)),4),1)="0",RIGHT(INDEX(tblStellplatz[SAP],MATCH(PlanLayout!J34,tblStellplatz[Stellplatz],0)),5),RIGHT(INDEX(tblStellplatz[SAP],MATCH(PlanLayout!J34,tblStellplatz[Stellplatz],0)),4))),"?"))</f>
        <v/>
      </c>
      <c r="K34" s="4">
        <f>IF(PlanLayout!K34="","",PlanLayout!K34&amp;CHAR(10)&amp;IFERROR(IF(INDEX(tblStellplatz[SAP],MATCH(PlanLayout!K34,tblStellplatz[Stellplatz],0))="","leer",IF(LEFT(RIGHT(INDEX(tblStellplatz[SAP],MATCH(PlanLayout!K34,tblStellplatz[Stellplatz],0)),4),1)="0",RIGHT(INDEX(tblStellplatz[SAP],MATCH(PlanLayout!K34,tblStellplatz[Stellplatz],0)),5),RIGHT(INDEX(tblStellplatz[SAP],MATCH(PlanLayout!K34,tblStellplatz[Stellplatz],0)),4))),"?"))</f>
        <v/>
      </c>
      <c r="L34" s="4">
        <f>IF(PlanLayout!L34="","",PlanLayout!L34&amp;CHAR(10)&amp;IFERROR(IF(INDEX(tblStellplatz[SAP],MATCH(PlanLayout!L34,tblStellplatz[Stellplatz],0))="","leer",IF(LEFT(RIGHT(INDEX(tblStellplatz[SAP],MATCH(PlanLayout!L34,tblStellplatz[Stellplatz],0)),4),1)="0",RIGHT(INDEX(tblStellplatz[SAP],MATCH(PlanLayout!L34,tblStellplatz[Stellplatz],0)),5),RIGHT(INDEX(tblStellplatz[SAP],MATCH(PlanLayout!L34,tblStellplatz[Stellplatz],0)),4))),"?"))</f>
        <v/>
      </c>
      <c r="M34" s="4">
        <f>IF(PlanLayout!M34="","",PlanLayout!M34&amp;CHAR(10)&amp;IFERROR(IF(INDEX(tblStellplatz[SAP],MATCH(PlanLayout!M34,tblStellplatz[Stellplatz],0))="","leer",IF(LEFT(RIGHT(INDEX(tblStellplatz[SAP],MATCH(PlanLayout!M34,tblStellplatz[Stellplatz],0)),4),1)="0",RIGHT(INDEX(tblStellplatz[SAP],MATCH(PlanLayout!M34,tblStellplatz[Stellplatz],0)),5),RIGHT(INDEX(tblStellplatz[SAP],MATCH(PlanLayout!M34,tblStellplatz[Stellplatz],0)),4))),"?"))</f>
        <v/>
      </c>
      <c r="N34" s="4">
        <f>IF(PlanLayout!N34="","",PlanLayout!N34&amp;CHAR(10)&amp;IFERROR(IF(INDEX(tblStellplatz[SAP],MATCH(PlanLayout!N34,tblStellplatz[Stellplatz],0))="","leer",IF(LEFT(RIGHT(INDEX(tblStellplatz[SAP],MATCH(PlanLayout!N34,tblStellplatz[Stellplatz],0)),4),1)="0",RIGHT(INDEX(tblStellplatz[SAP],MATCH(PlanLayout!N34,tblStellplatz[Stellplatz],0)),5),RIGHT(INDEX(tblStellplatz[SAP],MATCH(PlanLayout!N34,tblStellplatz[Stellplatz],0)),4))),"?"))</f>
        <v/>
      </c>
      <c r="O34" s="4">
        <f>IF(PlanLayout!O34="","",PlanLayout!O34&amp;CHAR(10)&amp;IFERROR(IF(INDEX(tblStellplatz[SAP],MATCH(PlanLayout!O34,tblStellplatz[Stellplatz],0))="","leer",IF(LEFT(RIGHT(INDEX(tblStellplatz[SAP],MATCH(PlanLayout!O34,tblStellplatz[Stellplatz],0)),4),1)="0",RIGHT(INDEX(tblStellplatz[SAP],MATCH(PlanLayout!O34,tblStellplatz[Stellplatz],0)),5),RIGHT(INDEX(tblStellplatz[SAP],MATCH(PlanLayout!O34,tblStellplatz[Stellplatz],0)),4))),"?"))</f>
        <v/>
      </c>
      <c r="P34" s="4">
        <f>IF(PlanLayout!P34="","",PlanLayout!P34&amp;CHAR(10)&amp;IFERROR(IF(INDEX(tblStellplatz[SAP],MATCH(PlanLayout!P34,tblStellplatz[Stellplatz],0))="","leer",IF(LEFT(RIGHT(INDEX(tblStellplatz[SAP],MATCH(PlanLayout!P34,tblStellplatz[Stellplatz],0)),4),1)="0",RIGHT(INDEX(tblStellplatz[SAP],MATCH(PlanLayout!P34,tblStellplatz[Stellplatz],0)),5),RIGHT(INDEX(tblStellplatz[SAP],MATCH(PlanLayout!P34,tblStellplatz[Stellplatz],0)),4))),"?"))</f>
        <v/>
      </c>
      <c r="Q34" s="4">
        <f>IF(PlanLayout!Q34="","",PlanLayout!Q34&amp;CHAR(10)&amp;IFERROR(IF(INDEX(tblStellplatz[SAP],MATCH(PlanLayout!Q34,tblStellplatz[Stellplatz],0))="","leer",IF(LEFT(RIGHT(INDEX(tblStellplatz[SAP],MATCH(PlanLayout!Q34,tblStellplatz[Stellplatz],0)),4),1)="0",RIGHT(INDEX(tblStellplatz[SAP],MATCH(PlanLayout!Q34,tblStellplatz[Stellplatz],0)),5),RIGHT(INDEX(tblStellplatz[SAP],MATCH(PlanLayout!Q34,tblStellplatz[Stellplatz],0)),4))),"?"))</f>
        <v/>
      </c>
      <c r="R34" s="4">
        <f>IF(PlanLayout!R34="","",PlanLayout!R34&amp;CHAR(10)&amp;IFERROR(IF(INDEX(tblStellplatz[SAP],MATCH(PlanLayout!R34,tblStellplatz[Stellplatz],0))="","leer",IF(LEFT(RIGHT(INDEX(tblStellplatz[SAP],MATCH(PlanLayout!R34,tblStellplatz[Stellplatz],0)),4),1)="0",RIGHT(INDEX(tblStellplatz[SAP],MATCH(PlanLayout!R34,tblStellplatz[Stellplatz],0)),5),RIGHT(INDEX(tblStellplatz[SAP],MATCH(PlanLayout!R34,tblStellplatz[Stellplatz],0)),4))),"?"))</f>
        <v/>
      </c>
      <c r="S34" s="4">
        <f>IF(PlanLayout!S34="","",PlanLayout!S34&amp;CHAR(10)&amp;IFERROR(IF(INDEX(tblStellplatz[SAP],MATCH(PlanLayout!S34,tblStellplatz[Stellplatz],0))="","leer",IF(LEFT(RIGHT(INDEX(tblStellplatz[SAP],MATCH(PlanLayout!S34,tblStellplatz[Stellplatz],0)),4),1)="0",RIGHT(INDEX(tblStellplatz[SAP],MATCH(PlanLayout!S34,tblStellplatz[Stellplatz],0)),5),RIGHT(INDEX(tblStellplatz[SAP],MATCH(PlanLayout!S34,tblStellplatz[Stellplatz],0)),4))),"?"))</f>
        <v/>
      </c>
      <c r="T34" s="4">
        <f>IF(PlanLayout!T34="","",PlanLayout!T34&amp;CHAR(10)&amp;IFERROR(IF(INDEX(tblStellplatz[SAP],MATCH(PlanLayout!T34,tblStellplatz[Stellplatz],0))="","leer",IF(LEFT(RIGHT(INDEX(tblStellplatz[SAP],MATCH(PlanLayout!T34,tblStellplatz[Stellplatz],0)),4),1)="0",RIGHT(INDEX(tblStellplatz[SAP],MATCH(PlanLayout!T34,tblStellplatz[Stellplatz],0)),5),RIGHT(INDEX(tblStellplatz[SAP],MATCH(PlanLayout!T34,tblStellplatz[Stellplatz],0)),4))),"?"))</f>
        <v/>
      </c>
      <c r="U34" s="4">
        <f>IF(PlanLayout!U34="","",PlanLayout!U34&amp;CHAR(10)&amp;IFERROR(IF(INDEX(tblStellplatz[SAP],MATCH(PlanLayout!U34,tblStellplatz[Stellplatz],0))="","leer",IF(LEFT(RIGHT(INDEX(tblStellplatz[SAP],MATCH(PlanLayout!U34,tblStellplatz[Stellplatz],0)),4),1)="0",RIGHT(INDEX(tblStellplatz[SAP],MATCH(PlanLayout!U34,tblStellplatz[Stellplatz],0)),5),RIGHT(INDEX(tblStellplatz[SAP],MATCH(PlanLayout!U34,tblStellplatz[Stellplatz],0)),4))),"?"))</f>
        <v/>
      </c>
      <c r="V34" s="4">
        <f>IF(PlanLayout!V34="","",PlanLayout!V34&amp;CHAR(10)&amp;IFERROR(IF(INDEX(tblStellplatz[SAP],MATCH(PlanLayout!V34,tblStellplatz[Stellplatz],0))="","leer",IF(LEFT(RIGHT(INDEX(tblStellplatz[SAP],MATCH(PlanLayout!V34,tblStellplatz[Stellplatz],0)),4),1)="0",RIGHT(INDEX(tblStellplatz[SAP],MATCH(PlanLayout!V34,tblStellplatz[Stellplatz],0)),5),RIGHT(INDEX(tblStellplatz[SAP],MATCH(PlanLayout!V34,tblStellplatz[Stellplatz],0)),4))),"?"))</f>
        <v/>
      </c>
      <c r="W34" s="4">
        <f>IF(PlanLayout!W34="","",PlanLayout!W34&amp;CHAR(10)&amp;IFERROR(IF(INDEX(tblStellplatz[SAP],MATCH(PlanLayout!W34,tblStellplatz[Stellplatz],0))="","leer",IF(LEFT(RIGHT(INDEX(tblStellplatz[SAP],MATCH(PlanLayout!W34,tblStellplatz[Stellplatz],0)),4),1)="0",RIGHT(INDEX(tblStellplatz[SAP],MATCH(PlanLayout!W34,tblStellplatz[Stellplatz],0)),5),RIGHT(INDEX(tblStellplatz[SAP],MATCH(PlanLayout!W34,tblStellplatz[Stellplatz],0)),4))),"?"))</f>
        <v/>
      </c>
      <c r="X34" s="4">
        <f>IF(PlanLayout!X34="","",PlanLayout!X34&amp;CHAR(10)&amp;IFERROR(IF(INDEX(tblStellplatz[SAP],MATCH(PlanLayout!X34,tblStellplatz[Stellplatz],0))="","leer",IF(LEFT(RIGHT(INDEX(tblStellplatz[SAP],MATCH(PlanLayout!X34,tblStellplatz[Stellplatz],0)),4),1)="0",RIGHT(INDEX(tblStellplatz[SAP],MATCH(PlanLayout!X34,tblStellplatz[Stellplatz],0)),5),RIGHT(INDEX(tblStellplatz[SAP],MATCH(PlanLayout!X34,tblStellplatz[Stellplatz],0)),4))),"?"))</f>
        <v/>
      </c>
      <c r="Y34" s="4">
        <f>IF(PlanLayout!Y34="","",PlanLayout!Y34&amp;CHAR(10)&amp;IFERROR(IF(INDEX(tblStellplatz[SAP],MATCH(PlanLayout!Y34,tblStellplatz[Stellplatz],0))="","leer",IF(LEFT(RIGHT(INDEX(tblStellplatz[SAP],MATCH(PlanLayout!Y34,tblStellplatz[Stellplatz],0)),4),1)="0",RIGHT(INDEX(tblStellplatz[SAP],MATCH(PlanLayout!Y34,tblStellplatz[Stellplatz],0)),5),RIGHT(INDEX(tblStellplatz[SAP],MATCH(PlanLayout!Y34,tblStellplatz[Stellplatz],0)),4))),"?"))</f>
        <v/>
      </c>
      <c r="Z34" s="4">
        <f>IF(PlanLayout!Z34="","",PlanLayout!Z34&amp;CHAR(10)&amp;IFERROR(IF(INDEX(tblStellplatz[SAP],MATCH(PlanLayout!Z34,tblStellplatz[Stellplatz],0))="","leer",IF(LEFT(RIGHT(INDEX(tblStellplatz[SAP],MATCH(PlanLayout!Z34,tblStellplatz[Stellplatz],0)),4),1)="0",RIGHT(INDEX(tblStellplatz[SAP],MATCH(PlanLayout!Z34,tblStellplatz[Stellplatz],0)),5),RIGHT(INDEX(tblStellplatz[SAP],MATCH(PlanLayout!Z34,tblStellplatz[Stellplatz],0)),4))),"?"))</f>
        <v/>
      </c>
      <c r="AA34" s="4">
        <f>IF(PlanLayout!AA34="","",PlanLayout!AA34&amp;CHAR(10)&amp;IFERROR(IF(INDEX(tblStellplatz[SAP],MATCH(PlanLayout!AA34,tblStellplatz[Stellplatz],0))="","leer",IF(LEFT(RIGHT(INDEX(tblStellplatz[SAP],MATCH(PlanLayout!AA34,tblStellplatz[Stellplatz],0)),4),1)="0",RIGHT(INDEX(tblStellplatz[SAP],MATCH(PlanLayout!AA34,tblStellplatz[Stellplatz],0)),5),RIGHT(INDEX(tblStellplatz[SAP],MATCH(PlanLayout!AA34,tblStellplatz[Stellplatz],0)),4))),"?"))</f>
        <v/>
      </c>
      <c r="AB34" s="4">
        <f>IF(PlanLayout!AB34="","",PlanLayout!AB34&amp;CHAR(10)&amp;IFERROR(IF(INDEX(tblStellplatz[SAP],MATCH(PlanLayout!AB34,tblStellplatz[Stellplatz],0))="","leer",IF(LEFT(RIGHT(INDEX(tblStellplatz[SAP],MATCH(PlanLayout!AB34,tblStellplatz[Stellplatz],0)),4),1)="0",RIGHT(INDEX(tblStellplatz[SAP],MATCH(PlanLayout!AB34,tblStellplatz[Stellplatz],0)),5),RIGHT(INDEX(tblStellplatz[SAP],MATCH(PlanLayout!AB34,tblStellplatz[Stellplatz],0)),4))),"?"))</f>
        <v/>
      </c>
      <c r="AC34" s="4">
        <f>IF(PlanLayout!AC34="","",PlanLayout!AC34&amp;CHAR(10)&amp;IFERROR(IF(INDEX(tblStellplatz[SAP],MATCH(PlanLayout!AC34,tblStellplatz[Stellplatz],0))="","leer",IF(LEFT(RIGHT(INDEX(tblStellplatz[SAP],MATCH(PlanLayout!AC34,tblStellplatz[Stellplatz],0)),4),1)="0",RIGHT(INDEX(tblStellplatz[SAP],MATCH(PlanLayout!AC34,tblStellplatz[Stellplatz],0)),5),RIGHT(INDEX(tblStellplatz[SAP],MATCH(PlanLayout!AC34,tblStellplatz[Stellplatz],0)),4))),"?"))</f>
        <v/>
      </c>
      <c r="AD34" s="4">
        <f>IF(PlanLayout!AD34="","",PlanLayout!AD34&amp;CHAR(10)&amp;IFERROR(IF(INDEX(tblStellplatz[SAP],MATCH(PlanLayout!AD34,tblStellplatz[Stellplatz],0))="","leer",IF(LEFT(RIGHT(INDEX(tblStellplatz[SAP],MATCH(PlanLayout!AD34,tblStellplatz[Stellplatz],0)),4),1)="0",RIGHT(INDEX(tblStellplatz[SAP],MATCH(PlanLayout!AD34,tblStellplatz[Stellplatz],0)),5),RIGHT(INDEX(tblStellplatz[SAP],MATCH(PlanLayout!AD34,tblStellplatz[Stellplatz],0)),4))),"?"))</f>
        <v/>
      </c>
      <c r="AE34" s="4">
        <f>IF(PlanLayout!AE34="","",PlanLayout!AE34&amp;CHAR(10)&amp;IFERROR(IF(INDEX(tblStellplatz[SAP],MATCH(PlanLayout!AE34,tblStellplatz[Stellplatz],0))="","leer",IF(LEFT(RIGHT(INDEX(tblStellplatz[SAP],MATCH(PlanLayout!AE34,tblStellplatz[Stellplatz],0)),4),1)="0",RIGHT(INDEX(tblStellplatz[SAP],MATCH(PlanLayout!AE34,tblStellplatz[Stellplatz],0)),5),RIGHT(INDEX(tblStellplatz[SAP],MATCH(PlanLayout!AE34,tblStellplatz[Stellplatz],0)),4))),"?"))</f>
        <v/>
      </c>
      <c r="AF34" s="4">
        <f>IF(PlanLayout!AF34="","",PlanLayout!AF34&amp;CHAR(10)&amp;IFERROR(IF(INDEX(tblStellplatz[SAP],MATCH(PlanLayout!AF34,tblStellplatz[Stellplatz],0))="","leer",IF(LEFT(RIGHT(INDEX(tblStellplatz[SAP],MATCH(PlanLayout!AF34,tblStellplatz[Stellplatz],0)),4),1)="0",RIGHT(INDEX(tblStellplatz[SAP],MATCH(PlanLayout!AF34,tblStellplatz[Stellplatz],0)),5),RIGHT(INDEX(tblStellplatz[SAP],MATCH(PlanLayout!AF34,tblStellplatz[Stellplatz],0)),4))),"?"))</f>
        <v/>
      </c>
      <c r="AG34" s="4">
        <f>IF(PlanLayout!AG34="","",PlanLayout!AG34&amp;CHAR(10)&amp;IFERROR(IF(INDEX(tblStellplatz[SAP],MATCH(PlanLayout!AG34,tblStellplatz[Stellplatz],0))="","leer",IF(LEFT(RIGHT(INDEX(tblStellplatz[SAP],MATCH(PlanLayout!AG34,tblStellplatz[Stellplatz],0)),4),1)="0",RIGHT(INDEX(tblStellplatz[SAP],MATCH(PlanLayout!AG34,tblStellplatz[Stellplatz],0)),5),RIGHT(INDEX(tblStellplatz[SAP],MATCH(PlanLayout!AG34,tblStellplatz[Stellplatz],0)),4))),"?"))</f>
        <v/>
      </c>
      <c r="AH34" s="4">
        <f>IF(PlanLayout!AH34="","",PlanLayout!AH34&amp;CHAR(10)&amp;IFERROR(IF(INDEX(tblStellplatz[SAP],MATCH(PlanLayout!AH34,tblStellplatz[Stellplatz],0))="","leer",IF(LEFT(RIGHT(INDEX(tblStellplatz[SAP],MATCH(PlanLayout!AH34,tblStellplatz[Stellplatz],0)),4),1)="0",RIGHT(INDEX(tblStellplatz[SAP],MATCH(PlanLayout!AH34,tblStellplatz[Stellplatz],0)),5),RIGHT(INDEX(tblStellplatz[SAP],MATCH(PlanLayout!AH34,tblStellplatz[Stellplatz],0)),4))),"?"))</f>
        <v/>
      </c>
      <c r="AI34" s="4">
        <f>IF(PlanLayout!AI34="","",PlanLayout!AI34&amp;CHAR(10)&amp;IFERROR(IF(INDEX(tblStellplatz[SAP],MATCH(PlanLayout!AI34,tblStellplatz[Stellplatz],0))="","leer",IF(LEFT(RIGHT(INDEX(tblStellplatz[SAP],MATCH(PlanLayout!AI34,tblStellplatz[Stellplatz],0)),4),1)="0",RIGHT(INDEX(tblStellplatz[SAP],MATCH(PlanLayout!AI34,tblStellplatz[Stellplatz],0)),5),RIGHT(INDEX(tblStellplatz[SAP],MATCH(PlanLayout!AI34,tblStellplatz[Stellplatz],0)),4))),"?"))</f>
        <v/>
      </c>
      <c r="AJ34" s="4">
        <f>IF(PlanLayout!AJ34="","",PlanLayout!AJ34&amp;CHAR(10)&amp;IFERROR(IF(INDEX(tblStellplatz[SAP],MATCH(PlanLayout!AJ34,tblStellplatz[Stellplatz],0))="","leer",IF(LEFT(RIGHT(INDEX(tblStellplatz[SAP],MATCH(PlanLayout!AJ34,tblStellplatz[Stellplatz],0)),4),1)="0",RIGHT(INDEX(tblStellplatz[SAP],MATCH(PlanLayout!AJ34,tblStellplatz[Stellplatz],0)),5),RIGHT(INDEX(tblStellplatz[SAP],MATCH(PlanLayout!AJ34,tblStellplatz[Stellplatz],0)),4))),"?"))</f>
        <v/>
      </c>
      <c r="AK34" s="4">
        <f>IF(PlanLayout!AK34="","",PlanLayout!AK34&amp;CHAR(10)&amp;IFERROR(IF(INDEX(tblStellplatz[SAP],MATCH(PlanLayout!AK34,tblStellplatz[Stellplatz],0))="","leer",IF(LEFT(RIGHT(INDEX(tblStellplatz[SAP],MATCH(PlanLayout!AK34,tblStellplatz[Stellplatz],0)),4),1)="0",RIGHT(INDEX(tblStellplatz[SAP],MATCH(PlanLayout!AK34,tblStellplatz[Stellplatz],0)),5),RIGHT(INDEX(tblStellplatz[SAP],MATCH(PlanLayout!AK34,tblStellplatz[Stellplatz],0)),4))),"?"))</f>
        <v/>
      </c>
      <c r="AL34" s="4">
        <f>IF(PlanLayout!AL34="","",PlanLayout!AL34&amp;CHAR(10)&amp;IFERROR(IF(INDEX(tblStellplatz[SAP],MATCH(PlanLayout!AL34,tblStellplatz[Stellplatz],0))="","leer",IF(LEFT(RIGHT(INDEX(tblStellplatz[SAP],MATCH(PlanLayout!AL34,tblStellplatz[Stellplatz],0)),4),1)="0",RIGHT(INDEX(tblStellplatz[SAP],MATCH(PlanLayout!AL34,tblStellplatz[Stellplatz],0)),5),RIGHT(INDEX(tblStellplatz[SAP],MATCH(PlanLayout!AL34,tblStellplatz[Stellplatz],0)),4))),"?"))</f>
        <v/>
      </c>
      <c r="AM34" s="4">
        <f>IF(PlanLayout!AM34="","",PlanLayout!AM34&amp;CHAR(10)&amp;IFERROR(IF(INDEX(tblStellplatz[SAP],MATCH(PlanLayout!AM34,tblStellplatz[Stellplatz],0))="","leer",IF(LEFT(RIGHT(INDEX(tblStellplatz[SAP],MATCH(PlanLayout!AM34,tblStellplatz[Stellplatz],0)),4),1)="0",RIGHT(INDEX(tblStellplatz[SAP],MATCH(PlanLayout!AM34,tblStellplatz[Stellplatz],0)),5),RIGHT(INDEX(tblStellplatz[SAP],MATCH(PlanLayout!AM34,tblStellplatz[Stellplatz],0)),4))),"?"))</f>
        <v/>
      </c>
      <c r="AN34" s="4">
        <f>IF(PlanLayout!AN34="","",PlanLayout!AN34&amp;CHAR(10)&amp;IFERROR(IF(INDEX(tblStellplatz[SAP],MATCH(PlanLayout!AN34,tblStellplatz[Stellplatz],0))="","leer",IF(LEFT(RIGHT(INDEX(tblStellplatz[SAP],MATCH(PlanLayout!AN34,tblStellplatz[Stellplatz],0)),4),1)="0",RIGHT(INDEX(tblStellplatz[SAP],MATCH(PlanLayout!AN34,tblStellplatz[Stellplatz],0)),5),RIGHT(INDEX(tblStellplatz[SAP],MATCH(PlanLayout!AN34,tblStellplatz[Stellplatz],0)),4))),"?"))</f>
        <v/>
      </c>
      <c r="AO34" s="4">
        <f>IF(PlanLayout!AO34="","",PlanLayout!AO34&amp;CHAR(10)&amp;IFERROR(IF(INDEX(tblStellplatz[SAP],MATCH(PlanLayout!AO34,tblStellplatz[Stellplatz],0))="","leer",IF(LEFT(RIGHT(INDEX(tblStellplatz[SAP],MATCH(PlanLayout!AO34,tblStellplatz[Stellplatz],0)),4),1)="0",RIGHT(INDEX(tblStellplatz[SAP],MATCH(PlanLayout!AO34,tblStellplatz[Stellplatz],0)),5),RIGHT(INDEX(tblStellplatz[SAP],MATCH(PlanLayout!AO34,tblStellplatz[Stellplatz],0)),4))),"?"))</f>
        <v/>
      </c>
    </row>
    <row r="35" ht="30" customHeight="1">
      <c r="B35" s="4">
        <f>IF(PlanLayout!B35="","",PlanLayout!B35&amp;CHAR(10)&amp;IFERROR(IF(INDEX(tblStellplatz[SAP],MATCH(PlanLayout!B35,tblStellplatz[Stellplatz],0))="","leer",IF(LEFT(RIGHT(INDEX(tblStellplatz[SAP],MATCH(PlanLayout!B35,tblStellplatz[Stellplatz],0)),4),1)="0",RIGHT(INDEX(tblStellplatz[SAP],MATCH(PlanLayout!B35,tblStellplatz[Stellplatz],0)),5),RIGHT(INDEX(tblStellplatz[SAP],MATCH(PlanLayout!B35,tblStellplatz[Stellplatz],0)),4))),"?"))</f>
        <v/>
      </c>
      <c r="C35" s="4">
        <f>IF(PlanLayout!C35="","",PlanLayout!C35&amp;CHAR(10)&amp;IFERROR(IF(INDEX(tblStellplatz[SAP],MATCH(PlanLayout!C35,tblStellplatz[Stellplatz],0))="","leer",IF(LEFT(RIGHT(INDEX(tblStellplatz[SAP],MATCH(PlanLayout!C35,tblStellplatz[Stellplatz],0)),4),1)="0",RIGHT(INDEX(tblStellplatz[SAP],MATCH(PlanLayout!C35,tblStellplatz[Stellplatz],0)),5),RIGHT(INDEX(tblStellplatz[SAP],MATCH(PlanLayout!C35,tblStellplatz[Stellplatz],0)),4))),"?"))</f>
        <v/>
      </c>
      <c r="D35" s="4">
        <f>IF(PlanLayout!D35="","",PlanLayout!D35&amp;CHAR(10)&amp;IFERROR(IF(INDEX(tblStellplatz[SAP],MATCH(PlanLayout!D35,tblStellplatz[Stellplatz],0))="","leer",IF(LEFT(RIGHT(INDEX(tblStellplatz[SAP],MATCH(PlanLayout!D35,tblStellplatz[Stellplatz],0)),4),1)="0",RIGHT(INDEX(tblStellplatz[SAP],MATCH(PlanLayout!D35,tblStellplatz[Stellplatz],0)),5),RIGHT(INDEX(tblStellplatz[SAP],MATCH(PlanLayout!D35,tblStellplatz[Stellplatz],0)),4))),"?"))</f>
        <v/>
      </c>
      <c r="E35" s="4">
        <f>IF(PlanLayout!E35="","",PlanLayout!E35&amp;CHAR(10)&amp;IFERROR(IF(INDEX(tblStellplatz[SAP],MATCH(PlanLayout!E35,tblStellplatz[Stellplatz],0))="","leer",IF(LEFT(RIGHT(INDEX(tblStellplatz[SAP],MATCH(PlanLayout!E35,tblStellplatz[Stellplatz],0)),4),1)="0",RIGHT(INDEX(tblStellplatz[SAP],MATCH(PlanLayout!E35,tblStellplatz[Stellplatz],0)),5),RIGHT(INDEX(tblStellplatz[SAP],MATCH(PlanLayout!E35,tblStellplatz[Stellplatz],0)),4))),"?"))</f>
        <v/>
      </c>
      <c r="F35" s="4">
        <f>IF(PlanLayout!F35="","",PlanLayout!F35&amp;CHAR(10)&amp;IFERROR(IF(INDEX(tblStellplatz[SAP],MATCH(PlanLayout!F35,tblStellplatz[Stellplatz],0))="","leer",IF(LEFT(RIGHT(INDEX(tblStellplatz[SAP],MATCH(PlanLayout!F35,tblStellplatz[Stellplatz],0)),4),1)="0",RIGHT(INDEX(tblStellplatz[SAP],MATCH(PlanLayout!F35,tblStellplatz[Stellplatz],0)),5),RIGHT(INDEX(tblStellplatz[SAP],MATCH(PlanLayout!F35,tblStellplatz[Stellplatz],0)),4))),"?"))</f>
        <v/>
      </c>
      <c r="G35" s="4">
        <f>IF(PlanLayout!G35="","",PlanLayout!G35&amp;CHAR(10)&amp;IFERROR(IF(INDEX(tblStellplatz[SAP],MATCH(PlanLayout!G35,tblStellplatz[Stellplatz],0))="","leer",IF(LEFT(RIGHT(INDEX(tblStellplatz[SAP],MATCH(PlanLayout!G35,tblStellplatz[Stellplatz],0)),4),1)="0",RIGHT(INDEX(tblStellplatz[SAP],MATCH(PlanLayout!G35,tblStellplatz[Stellplatz],0)),5),RIGHT(INDEX(tblStellplatz[SAP],MATCH(PlanLayout!G35,tblStellplatz[Stellplatz],0)),4))),"?"))</f>
        <v/>
      </c>
      <c r="H35" s="4">
        <f>IF(PlanLayout!H35="","",PlanLayout!H35&amp;CHAR(10)&amp;IFERROR(IF(INDEX(tblStellplatz[SAP],MATCH(PlanLayout!H35,tblStellplatz[Stellplatz],0))="","leer",IF(LEFT(RIGHT(INDEX(tblStellplatz[SAP],MATCH(PlanLayout!H35,tblStellplatz[Stellplatz],0)),4),1)="0",RIGHT(INDEX(tblStellplatz[SAP],MATCH(PlanLayout!H35,tblStellplatz[Stellplatz],0)),5),RIGHT(INDEX(tblStellplatz[SAP],MATCH(PlanLayout!H35,tblStellplatz[Stellplatz],0)),4))),"?"))</f>
        <v/>
      </c>
      <c r="I35" s="4">
        <f>IF(PlanLayout!I35="","",PlanLayout!I35&amp;CHAR(10)&amp;IFERROR(IF(INDEX(tblStellplatz[SAP],MATCH(PlanLayout!I35,tblStellplatz[Stellplatz],0))="","leer",IF(LEFT(RIGHT(INDEX(tblStellplatz[SAP],MATCH(PlanLayout!I35,tblStellplatz[Stellplatz],0)),4),1)="0",RIGHT(INDEX(tblStellplatz[SAP],MATCH(PlanLayout!I35,tblStellplatz[Stellplatz],0)),5),RIGHT(INDEX(tblStellplatz[SAP],MATCH(PlanLayout!I35,tblStellplatz[Stellplatz],0)),4))),"?"))</f>
        <v/>
      </c>
      <c r="J35" s="4">
        <f>IF(PlanLayout!J35="","",PlanLayout!J35&amp;CHAR(10)&amp;IFERROR(IF(INDEX(tblStellplatz[SAP],MATCH(PlanLayout!J35,tblStellplatz[Stellplatz],0))="","leer",IF(LEFT(RIGHT(INDEX(tblStellplatz[SAP],MATCH(PlanLayout!J35,tblStellplatz[Stellplatz],0)),4),1)="0",RIGHT(INDEX(tblStellplatz[SAP],MATCH(PlanLayout!J35,tblStellplatz[Stellplatz],0)),5),RIGHT(INDEX(tblStellplatz[SAP],MATCH(PlanLayout!J35,tblStellplatz[Stellplatz],0)),4))),"?"))</f>
        <v/>
      </c>
      <c r="K35" s="4">
        <f>IF(PlanLayout!K35="","",PlanLayout!K35&amp;CHAR(10)&amp;IFERROR(IF(INDEX(tblStellplatz[SAP],MATCH(PlanLayout!K35,tblStellplatz[Stellplatz],0))="","leer",IF(LEFT(RIGHT(INDEX(tblStellplatz[SAP],MATCH(PlanLayout!K35,tblStellplatz[Stellplatz],0)),4),1)="0",RIGHT(INDEX(tblStellplatz[SAP],MATCH(PlanLayout!K35,tblStellplatz[Stellplatz],0)),5),RIGHT(INDEX(tblStellplatz[SAP],MATCH(PlanLayout!K35,tblStellplatz[Stellplatz],0)),4))),"?"))</f>
        <v/>
      </c>
      <c r="L35" s="4">
        <f>IF(PlanLayout!L35="","",PlanLayout!L35&amp;CHAR(10)&amp;IFERROR(IF(INDEX(tblStellplatz[SAP],MATCH(PlanLayout!L35,tblStellplatz[Stellplatz],0))="","leer",IF(LEFT(RIGHT(INDEX(tblStellplatz[SAP],MATCH(PlanLayout!L35,tblStellplatz[Stellplatz],0)),4),1)="0",RIGHT(INDEX(tblStellplatz[SAP],MATCH(PlanLayout!L35,tblStellplatz[Stellplatz],0)),5),RIGHT(INDEX(tblStellplatz[SAP],MATCH(PlanLayout!L35,tblStellplatz[Stellplatz],0)),4))),"?"))</f>
        <v/>
      </c>
      <c r="M35" s="4">
        <f>IF(PlanLayout!M35="","",PlanLayout!M35&amp;CHAR(10)&amp;IFERROR(IF(INDEX(tblStellplatz[SAP],MATCH(PlanLayout!M35,tblStellplatz[Stellplatz],0))="","leer",IF(LEFT(RIGHT(INDEX(tblStellplatz[SAP],MATCH(PlanLayout!M35,tblStellplatz[Stellplatz],0)),4),1)="0",RIGHT(INDEX(tblStellplatz[SAP],MATCH(PlanLayout!M35,tblStellplatz[Stellplatz],0)),5),RIGHT(INDEX(tblStellplatz[SAP],MATCH(PlanLayout!M35,tblStellplatz[Stellplatz],0)),4))),"?"))</f>
        <v/>
      </c>
      <c r="N35" s="4">
        <f>IF(PlanLayout!N35="","",PlanLayout!N35&amp;CHAR(10)&amp;IFERROR(IF(INDEX(tblStellplatz[SAP],MATCH(PlanLayout!N35,tblStellplatz[Stellplatz],0))="","leer",IF(LEFT(RIGHT(INDEX(tblStellplatz[SAP],MATCH(PlanLayout!N35,tblStellplatz[Stellplatz],0)),4),1)="0",RIGHT(INDEX(tblStellplatz[SAP],MATCH(PlanLayout!N35,tblStellplatz[Stellplatz],0)),5),RIGHT(INDEX(tblStellplatz[SAP],MATCH(PlanLayout!N35,tblStellplatz[Stellplatz],0)),4))),"?"))</f>
        <v/>
      </c>
      <c r="O35" s="4">
        <f>IF(PlanLayout!O35="","",PlanLayout!O35&amp;CHAR(10)&amp;IFERROR(IF(INDEX(tblStellplatz[SAP],MATCH(PlanLayout!O35,tblStellplatz[Stellplatz],0))="","leer",IF(LEFT(RIGHT(INDEX(tblStellplatz[SAP],MATCH(PlanLayout!O35,tblStellplatz[Stellplatz],0)),4),1)="0",RIGHT(INDEX(tblStellplatz[SAP],MATCH(PlanLayout!O35,tblStellplatz[Stellplatz],0)),5),RIGHT(INDEX(tblStellplatz[SAP],MATCH(PlanLayout!O35,tblStellplatz[Stellplatz],0)),4))),"?"))</f>
        <v/>
      </c>
      <c r="P35" s="4">
        <f>IF(PlanLayout!P35="","",PlanLayout!P35&amp;CHAR(10)&amp;IFERROR(IF(INDEX(tblStellplatz[SAP],MATCH(PlanLayout!P35,tblStellplatz[Stellplatz],0))="","leer",IF(LEFT(RIGHT(INDEX(tblStellplatz[SAP],MATCH(PlanLayout!P35,tblStellplatz[Stellplatz],0)),4),1)="0",RIGHT(INDEX(tblStellplatz[SAP],MATCH(PlanLayout!P35,tblStellplatz[Stellplatz],0)),5),RIGHT(INDEX(tblStellplatz[SAP],MATCH(PlanLayout!P35,tblStellplatz[Stellplatz],0)),4))),"?"))</f>
        <v/>
      </c>
      <c r="Q35" s="4">
        <f>IF(PlanLayout!Q35="","",PlanLayout!Q35&amp;CHAR(10)&amp;IFERROR(IF(INDEX(tblStellplatz[SAP],MATCH(PlanLayout!Q35,tblStellplatz[Stellplatz],0))="","leer",IF(LEFT(RIGHT(INDEX(tblStellplatz[SAP],MATCH(PlanLayout!Q35,tblStellplatz[Stellplatz],0)),4),1)="0",RIGHT(INDEX(tblStellplatz[SAP],MATCH(PlanLayout!Q35,tblStellplatz[Stellplatz],0)),5),RIGHT(INDEX(tblStellplatz[SAP],MATCH(PlanLayout!Q35,tblStellplatz[Stellplatz],0)),4))),"?"))</f>
        <v/>
      </c>
      <c r="R35" s="4">
        <f>IF(PlanLayout!R35="","",PlanLayout!R35&amp;CHAR(10)&amp;IFERROR(IF(INDEX(tblStellplatz[SAP],MATCH(PlanLayout!R35,tblStellplatz[Stellplatz],0))="","leer",IF(LEFT(RIGHT(INDEX(tblStellplatz[SAP],MATCH(PlanLayout!R35,tblStellplatz[Stellplatz],0)),4),1)="0",RIGHT(INDEX(tblStellplatz[SAP],MATCH(PlanLayout!R35,tblStellplatz[Stellplatz],0)),5),RIGHT(INDEX(tblStellplatz[SAP],MATCH(PlanLayout!R35,tblStellplatz[Stellplatz],0)),4))),"?"))</f>
        <v/>
      </c>
      <c r="S35" s="4">
        <f>IF(PlanLayout!S35="","",PlanLayout!S35&amp;CHAR(10)&amp;IFERROR(IF(INDEX(tblStellplatz[SAP],MATCH(PlanLayout!S35,tblStellplatz[Stellplatz],0))="","leer",IF(LEFT(RIGHT(INDEX(tblStellplatz[SAP],MATCH(PlanLayout!S35,tblStellplatz[Stellplatz],0)),4),1)="0",RIGHT(INDEX(tblStellplatz[SAP],MATCH(PlanLayout!S35,tblStellplatz[Stellplatz],0)),5),RIGHT(INDEX(tblStellplatz[SAP],MATCH(PlanLayout!S35,tblStellplatz[Stellplatz],0)),4))),"?"))</f>
        <v/>
      </c>
      <c r="T35" s="4">
        <f>IF(PlanLayout!T35="","",PlanLayout!T35&amp;CHAR(10)&amp;IFERROR(IF(INDEX(tblStellplatz[SAP],MATCH(PlanLayout!T35,tblStellplatz[Stellplatz],0))="","leer",IF(LEFT(RIGHT(INDEX(tblStellplatz[SAP],MATCH(PlanLayout!T35,tblStellplatz[Stellplatz],0)),4),1)="0",RIGHT(INDEX(tblStellplatz[SAP],MATCH(PlanLayout!T35,tblStellplatz[Stellplatz],0)),5),RIGHT(INDEX(tblStellplatz[SAP],MATCH(PlanLayout!T35,tblStellplatz[Stellplatz],0)),4))),"?"))</f>
        <v/>
      </c>
      <c r="U35" s="4">
        <f>IF(PlanLayout!U35="","",PlanLayout!U35&amp;CHAR(10)&amp;IFERROR(IF(INDEX(tblStellplatz[SAP],MATCH(PlanLayout!U35,tblStellplatz[Stellplatz],0))="","leer",IF(LEFT(RIGHT(INDEX(tblStellplatz[SAP],MATCH(PlanLayout!U35,tblStellplatz[Stellplatz],0)),4),1)="0",RIGHT(INDEX(tblStellplatz[SAP],MATCH(PlanLayout!U35,tblStellplatz[Stellplatz],0)),5),RIGHT(INDEX(tblStellplatz[SAP],MATCH(PlanLayout!U35,tblStellplatz[Stellplatz],0)),4))),"?"))</f>
        <v/>
      </c>
      <c r="V35" s="4">
        <f>IF(PlanLayout!V35="","",PlanLayout!V35&amp;CHAR(10)&amp;IFERROR(IF(INDEX(tblStellplatz[SAP],MATCH(PlanLayout!V35,tblStellplatz[Stellplatz],0))="","leer",IF(LEFT(RIGHT(INDEX(tblStellplatz[SAP],MATCH(PlanLayout!V35,tblStellplatz[Stellplatz],0)),4),1)="0",RIGHT(INDEX(tblStellplatz[SAP],MATCH(PlanLayout!V35,tblStellplatz[Stellplatz],0)),5),RIGHT(INDEX(tblStellplatz[SAP],MATCH(PlanLayout!V35,tblStellplatz[Stellplatz],0)),4))),"?"))</f>
        <v/>
      </c>
      <c r="W35" s="4">
        <f>IF(PlanLayout!W35="","",PlanLayout!W35&amp;CHAR(10)&amp;IFERROR(IF(INDEX(tblStellplatz[SAP],MATCH(PlanLayout!W35,tblStellplatz[Stellplatz],0))="","leer",IF(LEFT(RIGHT(INDEX(tblStellplatz[SAP],MATCH(PlanLayout!W35,tblStellplatz[Stellplatz],0)),4),1)="0",RIGHT(INDEX(tblStellplatz[SAP],MATCH(PlanLayout!W35,tblStellplatz[Stellplatz],0)),5),RIGHT(INDEX(tblStellplatz[SAP],MATCH(PlanLayout!W35,tblStellplatz[Stellplatz],0)),4))),"?"))</f>
        <v/>
      </c>
      <c r="X35" s="4">
        <f>IF(PlanLayout!X35="","",PlanLayout!X35&amp;CHAR(10)&amp;IFERROR(IF(INDEX(tblStellplatz[SAP],MATCH(PlanLayout!X35,tblStellplatz[Stellplatz],0))="","leer",IF(LEFT(RIGHT(INDEX(tblStellplatz[SAP],MATCH(PlanLayout!X35,tblStellplatz[Stellplatz],0)),4),1)="0",RIGHT(INDEX(tblStellplatz[SAP],MATCH(PlanLayout!X35,tblStellplatz[Stellplatz],0)),5),RIGHT(INDEX(tblStellplatz[SAP],MATCH(PlanLayout!X35,tblStellplatz[Stellplatz],0)),4))),"?"))</f>
        <v/>
      </c>
      <c r="Y35" s="4">
        <f>IF(PlanLayout!Y35="","",PlanLayout!Y35&amp;CHAR(10)&amp;IFERROR(IF(INDEX(tblStellplatz[SAP],MATCH(PlanLayout!Y35,tblStellplatz[Stellplatz],0))="","leer",IF(LEFT(RIGHT(INDEX(tblStellplatz[SAP],MATCH(PlanLayout!Y35,tblStellplatz[Stellplatz],0)),4),1)="0",RIGHT(INDEX(tblStellplatz[SAP],MATCH(PlanLayout!Y35,tblStellplatz[Stellplatz],0)),5),RIGHT(INDEX(tblStellplatz[SAP],MATCH(PlanLayout!Y35,tblStellplatz[Stellplatz],0)),4))),"?"))</f>
        <v/>
      </c>
      <c r="Z35" s="4">
        <f>IF(PlanLayout!Z35="","",PlanLayout!Z35&amp;CHAR(10)&amp;IFERROR(IF(INDEX(tblStellplatz[SAP],MATCH(PlanLayout!Z35,tblStellplatz[Stellplatz],0))="","leer",IF(LEFT(RIGHT(INDEX(tblStellplatz[SAP],MATCH(PlanLayout!Z35,tblStellplatz[Stellplatz],0)),4),1)="0",RIGHT(INDEX(tblStellplatz[SAP],MATCH(PlanLayout!Z35,tblStellplatz[Stellplatz],0)),5),RIGHT(INDEX(tblStellplatz[SAP],MATCH(PlanLayout!Z35,tblStellplatz[Stellplatz],0)),4))),"?"))</f>
        <v/>
      </c>
      <c r="AA35" s="4">
        <f>IF(PlanLayout!AA35="","",PlanLayout!AA35&amp;CHAR(10)&amp;IFERROR(IF(INDEX(tblStellplatz[SAP],MATCH(PlanLayout!AA35,tblStellplatz[Stellplatz],0))="","leer",IF(LEFT(RIGHT(INDEX(tblStellplatz[SAP],MATCH(PlanLayout!AA35,tblStellplatz[Stellplatz],0)),4),1)="0",RIGHT(INDEX(tblStellplatz[SAP],MATCH(PlanLayout!AA35,tblStellplatz[Stellplatz],0)),5),RIGHT(INDEX(tblStellplatz[SAP],MATCH(PlanLayout!AA35,tblStellplatz[Stellplatz],0)),4))),"?"))</f>
        <v/>
      </c>
      <c r="AB35" s="4">
        <f>IF(PlanLayout!AB35="","",PlanLayout!AB35&amp;CHAR(10)&amp;IFERROR(IF(INDEX(tblStellplatz[SAP],MATCH(PlanLayout!AB35,tblStellplatz[Stellplatz],0))="","leer",IF(LEFT(RIGHT(INDEX(tblStellplatz[SAP],MATCH(PlanLayout!AB35,tblStellplatz[Stellplatz],0)),4),1)="0",RIGHT(INDEX(tblStellplatz[SAP],MATCH(PlanLayout!AB35,tblStellplatz[Stellplatz],0)),5),RIGHT(INDEX(tblStellplatz[SAP],MATCH(PlanLayout!AB35,tblStellplatz[Stellplatz],0)),4))),"?"))</f>
        <v/>
      </c>
      <c r="AC35" s="4">
        <f>IF(PlanLayout!AC35="","",PlanLayout!AC35&amp;CHAR(10)&amp;IFERROR(IF(INDEX(tblStellplatz[SAP],MATCH(PlanLayout!AC35,tblStellplatz[Stellplatz],0))="","leer",IF(LEFT(RIGHT(INDEX(tblStellplatz[SAP],MATCH(PlanLayout!AC35,tblStellplatz[Stellplatz],0)),4),1)="0",RIGHT(INDEX(tblStellplatz[SAP],MATCH(PlanLayout!AC35,tblStellplatz[Stellplatz],0)),5),RIGHT(INDEX(tblStellplatz[SAP],MATCH(PlanLayout!AC35,tblStellplatz[Stellplatz],0)),4))),"?"))</f>
        <v/>
      </c>
      <c r="AD35" s="4">
        <f>IF(PlanLayout!AD35="","",PlanLayout!AD35&amp;CHAR(10)&amp;IFERROR(IF(INDEX(tblStellplatz[SAP],MATCH(PlanLayout!AD35,tblStellplatz[Stellplatz],0))="","leer",IF(LEFT(RIGHT(INDEX(tblStellplatz[SAP],MATCH(PlanLayout!AD35,tblStellplatz[Stellplatz],0)),4),1)="0",RIGHT(INDEX(tblStellplatz[SAP],MATCH(PlanLayout!AD35,tblStellplatz[Stellplatz],0)),5),RIGHT(INDEX(tblStellplatz[SAP],MATCH(PlanLayout!AD35,tblStellplatz[Stellplatz],0)),4))),"?"))</f>
        <v/>
      </c>
      <c r="AE35" s="4">
        <f>IF(PlanLayout!AE35="","",PlanLayout!AE35&amp;CHAR(10)&amp;IFERROR(IF(INDEX(tblStellplatz[SAP],MATCH(PlanLayout!AE35,tblStellplatz[Stellplatz],0))="","leer",IF(LEFT(RIGHT(INDEX(tblStellplatz[SAP],MATCH(PlanLayout!AE35,tblStellplatz[Stellplatz],0)),4),1)="0",RIGHT(INDEX(tblStellplatz[SAP],MATCH(PlanLayout!AE35,tblStellplatz[Stellplatz],0)),5),RIGHT(INDEX(tblStellplatz[SAP],MATCH(PlanLayout!AE35,tblStellplatz[Stellplatz],0)),4))),"?"))</f>
        <v/>
      </c>
      <c r="AF35" s="4">
        <f>IF(PlanLayout!AF35="","",PlanLayout!AF35&amp;CHAR(10)&amp;IFERROR(IF(INDEX(tblStellplatz[SAP],MATCH(PlanLayout!AF35,tblStellplatz[Stellplatz],0))="","leer",IF(LEFT(RIGHT(INDEX(tblStellplatz[SAP],MATCH(PlanLayout!AF35,tblStellplatz[Stellplatz],0)),4),1)="0",RIGHT(INDEX(tblStellplatz[SAP],MATCH(PlanLayout!AF35,tblStellplatz[Stellplatz],0)),5),RIGHT(INDEX(tblStellplatz[SAP],MATCH(PlanLayout!AF35,tblStellplatz[Stellplatz],0)),4))),"?"))</f>
        <v/>
      </c>
      <c r="AG35" s="4">
        <f>IF(PlanLayout!AG35="","",PlanLayout!AG35&amp;CHAR(10)&amp;IFERROR(IF(INDEX(tblStellplatz[SAP],MATCH(PlanLayout!AG35,tblStellplatz[Stellplatz],0))="","leer",IF(LEFT(RIGHT(INDEX(tblStellplatz[SAP],MATCH(PlanLayout!AG35,tblStellplatz[Stellplatz],0)),4),1)="0",RIGHT(INDEX(tblStellplatz[SAP],MATCH(PlanLayout!AG35,tblStellplatz[Stellplatz],0)),5),RIGHT(INDEX(tblStellplatz[SAP],MATCH(PlanLayout!AG35,tblStellplatz[Stellplatz],0)),4))),"?"))</f>
        <v/>
      </c>
      <c r="AH35" s="4">
        <f>IF(PlanLayout!AH35="","",PlanLayout!AH35&amp;CHAR(10)&amp;IFERROR(IF(INDEX(tblStellplatz[SAP],MATCH(PlanLayout!AH35,tblStellplatz[Stellplatz],0))="","leer",IF(LEFT(RIGHT(INDEX(tblStellplatz[SAP],MATCH(PlanLayout!AH35,tblStellplatz[Stellplatz],0)),4),1)="0",RIGHT(INDEX(tblStellplatz[SAP],MATCH(PlanLayout!AH35,tblStellplatz[Stellplatz],0)),5),RIGHT(INDEX(tblStellplatz[SAP],MATCH(PlanLayout!AH35,tblStellplatz[Stellplatz],0)),4))),"?"))</f>
        <v/>
      </c>
      <c r="AI35" s="4">
        <f>IF(PlanLayout!AI35="","",PlanLayout!AI35&amp;CHAR(10)&amp;IFERROR(IF(INDEX(tblStellplatz[SAP],MATCH(PlanLayout!AI35,tblStellplatz[Stellplatz],0))="","leer",IF(LEFT(RIGHT(INDEX(tblStellplatz[SAP],MATCH(PlanLayout!AI35,tblStellplatz[Stellplatz],0)),4),1)="0",RIGHT(INDEX(tblStellplatz[SAP],MATCH(PlanLayout!AI35,tblStellplatz[Stellplatz],0)),5),RIGHT(INDEX(tblStellplatz[SAP],MATCH(PlanLayout!AI35,tblStellplatz[Stellplatz],0)),4))),"?"))</f>
        <v/>
      </c>
      <c r="AJ35" s="4">
        <f>IF(PlanLayout!AJ35="","",PlanLayout!AJ35&amp;CHAR(10)&amp;IFERROR(IF(INDEX(tblStellplatz[SAP],MATCH(PlanLayout!AJ35,tblStellplatz[Stellplatz],0))="","leer",IF(LEFT(RIGHT(INDEX(tblStellplatz[SAP],MATCH(PlanLayout!AJ35,tblStellplatz[Stellplatz],0)),4),1)="0",RIGHT(INDEX(tblStellplatz[SAP],MATCH(PlanLayout!AJ35,tblStellplatz[Stellplatz],0)),5),RIGHT(INDEX(tblStellplatz[SAP],MATCH(PlanLayout!AJ35,tblStellplatz[Stellplatz],0)),4))),"?"))</f>
        <v/>
      </c>
      <c r="AK35" s="4">
        <f>IF(PlanLayout!AK35="","",PlanLayout!AK35&amp;CHAR(10)&amp;IFERROR(IF(INDEX(tblStellplatz[SAP],MATCH(PlanLayout!AK35,tblStellplatz[Stellplatz],0))="","leer",IF(LEFT(RIGHT(INDEX(tblStellplatz[SAP],MATCH(PlanLayout!AK35,tblStellplatz[Stellplatz],0)),4),1)="0",RIGHT(INDEX(tblStellplatz[SAP],MATCH(PlanLayout!AK35,tblStellplatz[Stellplatz],0)),5),RIGHT(INDEX(tblStellplatz[SAP],MATCH(PlanLayout!AK35,tblStellplatz[Stellplatz],0)),4))),"?"))</f>
        <v/>
      </c>
      <c r="AL35" s="4">
        <f>IF(PlanLayout!AL35="","",PlanLayout!AL35&amp;CHAR(10)&amp;IFERROR(IF(INDEX(tblStellplatz[SAP],MATCH(PlanLayout!AL35,tblStellplatz[Stellplatz],0))="","leer",IF(LEFT(RIGHT(INDEX(tblStellplatz[SAP],MATCH(PlanLayout!AL35,tblStellplatz[Stellplatz],0)),4),1)="0",RIGHT(INDEX(tblStellplatz[SAP],MATCH(PlanLayout!AL35,tblStellplatz[Stellplatz],0)),5),RIGHT(INDEX(tblStellplatz[SAP],MATCH(PlanLayout!AL35,tblStellplatz[Stellplatz],0)),4))),"?"))</f>
        <v/>
      </c>
      <c r="AM35" s="4">
        <f>IF(PlanLayout!AM35="","",PlanLayout!AM35&amp;CHAR(10)&amp;IFERROR(IF(INDEX(tblStellplatz[SAP],MATCH(PlanLayout!AM35,tblStellplatz[Stellplatz],0))="","leer",IF(LEFT(RIGHT(INDEX(tblStellplatz[SAP],MATCH(PlanLayout!AM35,tblStellplatz[Stellplatz],0)),4),1)="0",RIGHT(INDEX(tblStellplatz[SAP],MATCH(PlanLayout!AM35,tblStellplatz[Stellplatz],0)),5),RIGHT(INDEX(tblStellplatz[SAP],MATCH(PlanLayout!AM35,tblStellplatz[Stellplatz],0)),4))),"?"))</f>
        <v/>
      </c>
      <c r="AN35" s="4">
        <f>IF(PlanLayout!AN35="","",PlanLayout!AN35&amp;CHAR(10)&amp;IFERROR(IF(INDEX(tblStellplatz[SAP],MATCH(PlanLayout!AN35,tblStellplatz[Stellplatz],0))="","leer",IF(LEFT(RIGHT(INDEX(tblStellplatz[SAP],MATCH(PlanLayout!AN35,tblStellplatz[Stellplatz],0)),4),1)="0",RIGHT(INDEX(tblStellplatz[SAP],MATCH(PlanLayout!AN35,tblStellplatz[Stellplatz],0)),5),RIGHT(INDEX(tblStellplatz[SAP],MATCH(PlanLayout!AN35,tblStellplatz[Stellplatz],0)),4))),"?"))</f>
        <v/>
      </c>
      <c r="AO35" s="4">
        <f>IF(PlanLayout!AO35="","",PlanLayout!AO35&amp;CHAR(10)&amp;IFERROR(IF(INDEX(tblStellplatz[SAP],MATCH(PlanLayout!AO35,tblStellplatz[Stellplatz],0))="","leer",IF(LEFT(RIGHT(INDEX(tblStellplatz[SAP],MATCH(PlanLayout!AO35,tblStellplatz[Stellplatz],0)),4),1)="0",RIGHT(INDEX(tblStellplatz[SAP],MATCH(PlanLayout!AO35,tblStellplatz[Stellplatz],0)),5),RIGHT(INDEX(tblStellplatz[SAP],MATCH(PlanLayout!AO35,tblStellplatz[Stellplatz],0)),4))),"?"))</f>
        <v/>
      </c>
    </row>
    <row r="36" ht="30" customHeight="1">
      <c r="B36" s="4">
        <f>IF(PlanLayout!B36="","",PlanLayout!B36&amp;CHAR(10)&amp;IFERROR(IF(INDEX(tblStellplatz[SAP],MATCH(PlanLayout!B36,tblStellplatz[Stellplatz],0))="","leer",IF(LEFT(RIGHT(INDEX(tblStellplatz[SAP],MATCH(PlanLayout!B36,tblStellplatz[Stellplatz],0)),4),1)="0",RIGHT(INDEX(tblStellplatz[SAP],MATCH(PlanLayout!B36,tblStellplatz[Stellplatz],0)),5),RIGHT(INDEX(tblStellplatz[SAP],MATCH(PlanLayout!B36,tblStellplatz[Stellplatz],0)),4))),"?"))</f>
        <v/>
      </c>
      <c r="C36" s="4">
        <f>IF(PlanLayout!C36="","",PlanLayout!C36&amp;CHAR(10)&amp;IFERROR(IF(INDEX(tblStellplatz[SAP],MATCH(PlanLayout!C36,tblStellplatz[Stellplatz],0))="","leer",IF(LEFT(RIGHT(INDEX(tblStellplatz[SAP],MATCH(PlanLayout!C36,tblStellplatz[Stellplatz],0)),4),1)="0",RIGHT(INDEX(tblStellplatz[SAP],MATCH(PlanLayout!C36,tblStellplatz[Stellplatz],0)),5),RIGHT(INDEX(tblStellplatz[SAP],MATCH(PlanLayout!C36,tblStellplatz[Stellplatz],0)),4))),"?"))</f>
        <v/>
      </c>
      <c r="D36" s="4">
        <f>IF(PlanLayout!D36="","",PlanLayout!D36&amp;CHAR(10)&amp;IFERROR(IF(INDEX(tblStellplatz[SAP],MATCH(PlanLayout!D36,tblStellplatz[Stellplatz],0))="","leer",IF(LEFT(RIGHT(INDEX(tblStellplatz[SAP],MATCH(PlanLayout!D36,tblStellplatz[Stellplatz],0)),4),1)="0",RIGHT(INDEX(tblStellplatz[SAP],MATCH(PlanLayout!D36,tblStellplatz[Stellplatz],0)),5),RIGHT(INDEX(tblStellplatz[SAP],MATCH(PlanLayout!D36,tblStellplatz[Stellplatz],0)),4))),"?"))</f>
        <v/>
      </c>
      <c r="E36" s="4">
        <f>IF(PlanLayout!E36="","",PlanLayout!E36&amp;CHAR(10)&amp;IFERROR(IF(INDEX(tblStellplatz[SAP],MATCH(PlanLayout!E36,tblStellplatz[Stellplatz],0))="","leer",IF(LEFT(RIGHT(INDEX(tblStellplatz[SAP],MATCH(PlanLayout!E36,tblStellplatz[Stellplatz],0)),4),1)="0",RIGHT(INDEX(tblStellplatz[SAP],MATCH(PlanLayout!E36,tblStellplatz[Stellplatz],0)),5),RIGHT(INDEX(tblStellplatz[SAP],MATCH(PlanLayout!E36,tblStellplatz[Stellplatz],0)),4))),"?"))</f>
        <v/>
      </c>
      <c r="F36" s="4">
        <f>IF(PlanLayout!F36="","",PlanLayout!F36&amp;CHAR(10)&amp;IFERROR(IF(INDEX(tblStellplatz[SAP],MATCH(PlanLayout!F36,tblStellplatz[Stellplatz],0))="","leer",IF(LEFT(RIGHT(INDEX(tblStellplatz[SAP],MATCH(PlanLayout!F36,tblStellplatz[Stellplatz],0)),4),1)="0",RIGHT(INDEX(tblStellplatz[SAP],MATCH(PlanLayout!F36,tblStellplatz[Stellplatz],0)),5),RIGHT(INDEX(tblStellplatz[SAP],MATCH(PlanLayout!F36,tblStellplatz[Stellplatz],0)),4))),"?"))</f>
        <v/>
      </c>
      <c r="G36" s="4">
        <f>IF(PlanLayout!G36="","",PlanLayout!G36&amp;CHAR(10)&amp;IFERROR(IF(INDEX(tblStellplatz[SAP],MATCH(PlanLayout!G36,tblStellplatz[Stellplatz],0))="","leer",IF(LEFT(RIGHT(INDEX(tblStellplatz[SAP],MATCH(PlanLayout!G36,tblStellplatz[Stellplatz],0)),4),1)="0",RIGHT(INDEX(tblStellplatz[SAP],MATCH(PlanLayout!G36,tblStellplatz[Stellplatz],0)),5),RIGHT(INDEX(tblStellplatz[SAP],MATCH(PlanLayout!G36,tblStellplatz[Stellplatz],0)),4))),"?"))</f>
        <v/>
      </c>
      <c r="H36" s="4">
        <f>IF(PlanLayout!H36="","",PlanLayout!H36&amp;CHAR(10)&amp;IFERROR(IF(INDEX(tblStellplatz[SAP],MATCH(PlanLayout!H36,tblStellplatz[Stellplatz],0))="","leer",IF(LEFT(RIGHT(INDEX(tblStellplatz[SAP],MATCH(PlanLayout!H36,tblStellplatz[Stellplatz],0)),4),1)="0",RIGHT(INDEX(tblStellplatz[SAP],MATCH(PlanLayout!H36,tblStellplatz[Stellplatz],0)),5),RIGHT(INDEX(tblStellplatz[SAP],MATCH(PlanLayout!H36,tblStellplatz[Stellplatz],0)),4))),"?"))</f>
        <v/>
      </c>
      <c r="I36" s="4">
        <f>IF(PlanLayout!I36="","",PlanLayout!I36&amp;CHAR(10)&amp;IFERROR(IF(INDEX(tblStellplatz[SAP],MATCH(PlanLayout!I36,tblStellplatz[Stellplatz],0))="","leer",IF(LEFT(RIGHT(INDEX(tblStellplatz[SAP],MATCH(PlanLayout!I36,tblStellplatz[Stellplatz],0)),4),1)="0",RIGHT(INDEX(tblStellplatz[SAP],MATCH(PlanLayout!I36,tblStellplatz[Stellplatz],0)),5),RIGHT(INDEX(tblStellplatz[SAP],MATCH(PlanLayout!I36,tblStellplatz[Stellplatz],0)),4))),"?"))</f>
        <v/>
      </c>
      <c r="J36" s="4">
        <f>IF(PlanLayout!J36="","",PlanLayout!J36&amp;CHAR(10)&amp;IFERROR(IF(INDEX(tblStellplatz[SAP],MATCH(PlanLayout!J36,tblStellplatz[Stellplatz],0))="","leer",IF(LEFT(RIGHT(INDEX(tblStellplatz[SAP],MATCH(PlanLayout!J36,tblStellplatz[Stellplatz],0)),4),1)="0",RIGHT(INDEX(tblStellplatz[SAP],MATCH(PlanLayout!J36,tblStellplatz[Stellplatz],0)),5),RIGHT(INDEX(tblStellplatz[SAP],MATCH(PlanLayout!J36,tblStellplatz[Stellplatz],0)),4))),"?"))</f>
        <v/>
      </c>
      <c r="K36" s="4">
        <f>IF(PlanLayout!K36="","",PlanLayout!K36&amp;CHAR(10)&amp;IFERROR(IF(INDEX(tblStellplatz[SAP],MATCH(PlanLayout!K36,tblStellplatz[Stellplatz],0))="","leer",IF(LEFT(RIGHT(INDEX(tblStellplatz[SAP],MATCH(PlanLayout!K36,tblStellplatz[Stellplatz],0)),4),1)="0",RIGHT(INDEX(tblStellplatz[SAP],MATCH(PlanLayout!K36,tblStellplatz[Stellplatz],0)),5),RIGHT(INDEX(tblStellplatz[SAP],MATCH(PlanLayout!K36,tblStellplatz[Stellplatz],0)),4))),"?"))</f>
        <v/>
      </c>
      <c r="L36" s="4">
        <f>IF(PlanLayout!L36="","",PlanLayout!L36&amp;CHAR(10)&amp;IFERROR(IF(INDEX(tblStellplatz[SAP],MATCH(PlanLayout!L36,tblStellplatz[Stellplatz],0))="","leer",IF(LEFT(RIGHT(INDEX(tblStellplatz[SAP],MATCH(PlanLayout!L36,tblStellplatz[Stellplatz],0)),4),1)="0",RIGHT(INDEX(tblStellplatz[SAP],MATCH(PlanLayout!L36,tblStellplatz[Stellplatz],0)),5),RIGHT(INDEX(tblStellplatz[SAP],MATCH(PlanLayout!L36,tblStellplatz[Stellplatz],0)),4))),"?"))</f>
        <v/>
      </c>
      <c r="M36" s="4">
        <f>IF(PlanLayout!M36="","",PlanLayout!M36&amp;CHAR(10)&amp;IFERROR(IF(INDEX(tblStellplatz[SAP],MATCH(PlanLayout!M36,tblStellplatz[Stellplatz],0))="","leer",IF(LEFT(RIGHT(INDEX(tblStellplatz[SAP],MATCH(PlanLayout!M36,tblStellplatz[Stellplatz],0)),4),1)="0",RIGHT(INDEX(tblStellplatz[SAP],MATCH(PlanLayout!M36,tblStellplatz[Stellplatz],0)),5),RIGHT(INDEX(tblStellplatz[SAP],MATCH(PlanLayout!M36,tblStellplatz[Stellplatz],0)),4))),"?"))</f>
        <v/>
      </c>
      <c r="N36" s="4">
        <f>IF(PlanLayout!N36="","",PlanLayout!N36&amp;CHAR(10)&amp;IFERROR(IF(INDEX(tblStellplatz[SAP],MATCH(PlanLayout!N36,tblStellplatz[Stellplatz],0))="","leer",IF(LEFT(RIGHT(INDEX(tblStellplatz[SAP],MATCH(PlanLayout!N36,tblStellplatz[Stellplatz],0)),4),1)="0",RIGHT(INDEX(tblStellplatz[SAP],MATCH(PlanLayout!N36,tblStellplatz[Stellplatz],0)),5),RIGHT(INDEX(tblStellplatz[SAP],MATCH(PlanLayout!N36,tblStellplatz[Stellplatz],0)),4))),"?"))</f>
        <v/>
      </c>
      <c r="O36" s="4">
        <f>IF(PlanLayout!O36="","",PlanLayout!O36&amp;CHAR(10)&amp;IFERROR(IF(INDEX(tblStellplatz[SAP],MATCH(PlanLayout!O36,tblStellplatz[Stellplatz],0))="","leer",IF(LEFT(RIGHT(INDEX(tblStellplatz[SAP],MATCH(PlanLayout!O36,tblStellplatz[Stellplatz],0)),4),1)="0",RIGHT(INDEX(tblStellplatz[SAP],MATCH(PlanLayout!O36,tblStellplatz[Stellplatz],0)),5),RIGHT(INDEX(tblStellplatz[SAP],MATCH(PlanLayout!O36,tblStellplatz[Stellplatz],0)),4))),"?"))</f>
        <v/>
      </c>
      <c r="P36" s="4">
        <f>IF(PlanLayout!P36="","",PlanLayout!P36&amp;CHAR(10)&amp;IFERROR(IF(INDEX(tblStellplatz[SAP],MATCH(PlanLayout!P36,tblStellplatz[Stellplatz],0))="","leer",IF(LEFT(RIGHT(INDEX(tblStellplatz[SAP],MATCH(PlanLayout!P36,tblStellplatz[Stellplatz],0)),4),1)="0",RIGHT(INDEX(tblStellplatz[SAP],MATCH(PlanLayout!P36,tblStellplatz[Stellplatz],0)),5),RIGHT(INDEX(tblStellplatz[SAP],MATCH(PlanLayout!P36,tblStellplatz[Stellplatz],0)),4))),"?"))</f>
        <v/>
      </c>
      <c r="Q36" s="4">
        <f>IF(PlanLayout!Q36="","",PlanLayout!Q36&amp;CHAR(10)&amp;IFERROR(IF(INDEX(tblStellplatz[SAP],MATCH(PlanLayout!Q36,tblStellplatz[Stellplatz],0))="","leer",IF(LEFT(RIGHT(INDEX(tblStellplatz[SAP],MATCH(PlanLayout!Q36,tblStellplatz[Stellplatz],0)),4),1)="0",RIGHT(INDEX(tblStellplatz[SAP],MATCH(PlanLayout!Q36,tblStellplatz[Stellplatz],0)),5),RIGHT(INDEX(tblStellplatz[SAP],MATCH(PlanLayout!Q36,tblStellplatz[Stellplatz],0)),4))),"?"))</f>
        <v/>
      </c>
      <c r="R36" s="4">
        <f>IF(PlanLayout!R36="","",PlanLayout!R36&amp;CHAR(10)&amp;IFERROR(IF(INDEX(tblStellplatz[SAP],MATCH(PlanLayout!R36,tblStellplatz[Stellplatz],0))="","leer",IF(LEFT(RIGHT(INDEX(tblStellplatz[SAP],MATCH(PlanLayout!R36,tblStellplatz[Stellplatz],0)),4),1)="0",RIGHT(INDEX(tblStellplatz[SAP],MATCH(PlanLayout!R36,tblStellplatz[Stellplatz],0)),5),RIGHT(INDEX(tblStellplatz[SAP],MATCH(PlanLayout!R36,tblStellplatz[Stellplatz],0)),4))),"?"))</f>
        <v/>
      </c>
      <c r="S36" s="4">
        <f>IF(PlanLayout!S36="","",PlanLayout!S36&amp;CHAR(10)&amp;IFERROR(IF(INDEX(tblStellplatz[SAP],MATCH(PlanLayout!S36,tblStellplatz[Stellplatz],0))="","leer",IF(LEFT(RIGHT(INDEX(tblStellplatz[SAP],MATCH(PlanLayout!S36,tblStellplatz[Stellplatz],0)),4),1)="0",RIGHT(INDEX(tblStellplatz[SAP],MATCH(PlanLayout!S36,tblStellplatz[Stellplatz],0)),5),RIGHT(INDEX(tblStellplatz[SAP],MATCH(PlanLayout!S36,tblStellplatz[Stellplatz],0)),4))),"?"))</f>
        <v/>
      </c>
      <c r="T36" s="4">
        <f>IF(PlanLayout!T36="","",PlanLayout!T36&amp;CHAR(10)&amp;IFERROR(IF(INDEX(tblStellplatz[SAP],MATCH(PlanLayout!T36,tblStellplatz[Stellplatz],0))="","leer",IF(LEFT(RIGHT(INDEX(tblStellplatz[SAP],MATCH(PlanLayout!T36,tblStellplatz[Stellplatz],0)),4),1)="0",RIGHT(INDEX(tblStellplatz[SAP],MATCH(PlanLayout!T36,tblStellplatz[Stellplatz],0)),5),RIGHT(INDEX(tblStellplatz[SAP],MATCH(PlanLayout!T36,tblStellplatz[Stellplatz],0)),4))),"?"))</f>
        <v/>
      </c>
      <c r="U36" s="4">
        <f>IF(PlanLayout!U36="","",PlanLayout!U36&amp;CHAR(10)&amp;IFERROR(IF(INDEX(tblStellplatz[SAP],MATCH(PlanLayout!U36,tblStellplatz[Stellplatz],0))="","leer",IF(LEFT(RIGHT(INDEX(tblStellplatz[SAP],MATCH(PlanLayout!U36,tblStellplatz[Stellplatz],0)),4),1)="0",RIGHT(INDEX(tblStellplatz[SAP],MATCH(PlanLayout!U36,tblStellplatz[Stellplatz],0)),5),RIGHT(INDEX(tblStellplatz[SAP],MATCH(PlanLayout!U36,tblStellplatz[Stellplatz],0)),4))),"?"))</f>
        <v/>
      </c>
      <c r="V36" s="4">
        <f>IF(PlanLayout!V36="","",PlanLayout!V36&amp;CHAR(10)&amp;IFERROR(IF(INDEX(tblStellplatz[SAP],MATCH(PlanLayout!V36,tblStellplatz[Stellplatz],0))="","leer",IF(LEFT(RIGHT(INDEX(tblStellplatz[SAP],MATCH(PlanLayout!V36,tblStellplatz[Stellplatz],0)),4),1)="0",RIGHT(INDEX(tblStellplatz[SAP],MATCH(PlanLayout!V36,tblStellplatz[Stellplatz],0)),5),RIGHT(INDEX(tblStellplatz[SAP],MATCH(PlanLayout!V36,tblStellplatz[Stellplatz],0)),4))),"?"))</f>
        <v/>
      </c>
      <c r="W36" s="4">
        <f>IF(PlanLayout!W36="","",PlanLayout!W36&amp;CHAR(10)&amp;IFERROR(IF(INDEX(tblStellplatz[SAP],MATCH(PlanLayout!W36,tblStellplatz[Stellplatz],0))="","leer",IF(LEFT(RIGHT(INDEX(tblStellplatz[SAP],MATCH(PlanLayout!W36,tblStellplatz[Stellplatz],0)),4),1)="0",RIGHT(INDEX(tblStellplatz[SAP],MATCH(PlanLayout!W36,tblStellplatz[Stellplatz],0)),5),RIGHT(INDEX(tblStellplatz[SAP],MATCH(PlanLayout!W36,tblStellplatz[Stellplatz],0)),4))),"?"))</f>
        <v/>
      </c>
      <c r="X36" s="4">
        <f>IF(PlanLayout!X36="","",PlanLayout!X36&amp;CHAR(10)&amp;IFERROR(IF(INDEX(tblStellplatz[SAP],MATCH(PlanLayout!X36,tblStellplatz[Stellplatz],0))="","leer",IF(LEFT(RIGHT(INDEX(tblStellplatz[SAP],MATCH(PlanLayout!X36,tblStellplatz[Stellplatz],0)),4),1)="0",RIGHT(INDEX(tblStellplatz[SAP],MATCH(PlanLayout!X36,tblStellplatz[Stellplatz],0)),5),RIGHT(INDEX(tblStellplatz[SAP],MATCH(PlanLayout!X36,tblStellplatz[Stellplatz],0)),4))),"?"))</f>
        <v/>
      </c>
      <c r="Y36" s="4">
        <f>IF(PlanLayout!Y36="","",PlanLayout!Y36&amp;CHAR(10)&amp;IFERROR(IF(INDEX(tblStellplatz[SAP],MATCH(PlanLayout!Y36,tblStellplatz[Stellplatz],0))="","leer",IF(LEFT(RIGHT(INDEX(tblStellplatz[SAP],MATCH(PlanLayout!Y36,tblStellplatz[Stellplatz],0)),4),1)="0",RIGHT(INDEX(tblStellplatz[SAP],MATCH(PlanLayout!Y36,tblStellplatz[Stellplatz],0)),5),RIGHT(INDEX(tblStellplatz[SAP],MATCH(PlanLayout!Y36,tblStellplatz[Stellplatz],0)),4))),"?"))</f>
        <v/>
      </c>
      <c r="Z36" s="4">
        <f>IF(PlanLayout!Z36="","",PlanLayout!Z36&amp;CHAR(10)&amp;IFERROR(IF(INDEX(tblStellplatz[SAP],MATCH(PlanLayout!Z36,tblStellplatz[Stellplatz],0))="","leer",IF(LEFT(RIGHT(INDEX(tblStellplatz[SAP],MATCH(PlanLayout!Z36,tblStellplatz[Stellplatz],0)),4),1)="0",RIGHT(INDEX(tblStellplatz[SAP],MATCH(PlanLayout!Z36,tblStellplatz[Stellplatz],0)),5),RIGHT(INDEX(tblStellplatz[SAP],MATCH(PlanLayout!Z36,tblStellplatz[Stellplatz],0)),4))),"?"))</f>
        <v/>
      </c>
      <c r="AA36" s="4">
        <f>IF(PlanLayout!AA36="","",PlanLayout!AA36&amp;CHAR(10)&amp;IFERROR(IF(INDEX(tblStellplatz[SAP],MATCH(PlanLayout!AA36,tblStellplatz[Stellplatz],0))="","leer",IF(LEFT(RIGHT(INDEX(tblStellplatz[SAP],MATCH(PlanLayout!AA36,tblStellplatz[Stellplatz],0)),4),1)="0",RIGHT(INDEX(tblStellplatz[SAP],MATCH(PlanLayout!AA36,tblStellplatz[Stellplatz],0)),5),RIGHT(INDEX(tblStellplatz[SAP],MATCH(PlanLayout!AA36,tblStellplatz[Stellplatz],0)),4))),"?"))</f>
        <v/>
      </c>
      <c r="AB36" s="4">
        <f>IF(PlanLayout!AB36="","",PlanLayout!AB36&amp;CHAR(10)&amp;IFERROR(IF(INDEX(tblStellplatz[SAP],MATCH(PlanLayout!AB36,tblStellplatz[Stellplatz],0))="","leer",IF(LEFT(RIGHT(INDEX(tblStellplatz[SAP],MATCH(PlanLayout!AB36,tblStellplatz[Stellplatz],0)),4),1)="0",RIGHT(INDEX(tblStellplatz[SAP],MATCH(PlanLayout!AB36,tblStellplatz[Stellplatz],0)),5),RIGHT(INDEX(tblStellplatz[SAP],MATCH(PlanLayout!AB36,tblStellplatz[Stellplatz],0)),4))),"?"))</f>
        <v/>
      </c>
      <c r="AC36" s="4">
        <f>IF(PlanLayout!AC36="","",PlanLayout!AC36&amp;CHAR(10)&amp;IFERROR(IF(INDEX(tblStellplatz[SAP],MATCH(PlanLayout!AC36,tblStellplatz[Stellplatz],0))="","leer",IF(LEFT(RIGHT(INDEX(tblStellplatz[SAP],MATCH(PlanLayout!AC36,tblStellplatz[Stellplatz],0)),4),1)="0",RIGHT(INDEX(tblStellplatz[SAP],MATCH(PlanLayout!AC36,tblStellplatz[Stellplatz],0)),5),RIGHT(INDEX(tblStellplatz[SAP],MATCH(PlanLayout!AC36,tblStellplatz[Stellplatz],0)),4))),"?"))</f>
        <v/>
      </c>
      <c r="AD36" s="4">
        <f>IF(PlanLayout!AD36="","",PlanLayout!AD36&amp;CHAR(10)&amp;IFERROR(IF(INDEX(tblStellplatz[SAP],MATCH(PlanLayout!AD36,tblStellplatz[Stellplatz],0))="","leer",IF(LEFT(RIGHT(INDEX(tblStellplatz[SAP],MATCH(PlanLayout!AD36,tblStellplatz[Stellplatz],0)),4),1)="0",RIGHT(INDEX(tblStellplatz[SAP],MATCH(PlanLayout!AD36,tblStellplatz[Stellplatz],0)),5),RIGHT(INDEX(tblStellplatz[SAP],MATCH(PlanLayout!AD36,tblStellplatz[Stellplatz],0)),4))),"?"))</f>
        <v/>
      </c>
      <c r="AE36" s="4">
        <f>IF(PlanLayout!AE36="","",PlanLayout!AE36&amp;CHAR(10)&amp;IFERROR(IF(INDEX(tblStellplatz[SAP],MATCH(PlanLayout!AE36,tblStellplatz[Stellplatz],0))="","leer",IF(LEFT(RIGHT(INDEX(tblStellplatz[SAP],MATCH(PlanLayout!AE36,tblStellplatz[Stellplatz],0)),4),1)="0",RIGHT(INDEX(tblStellplatz[SAP],MATCH(PlanLayout!AE36,tblStellplatz[Stellplatz],0)),5),RIGHT(INDEX(tblStellplatz[SAP],MATCH(PlanLayout!AE36,tblStellplatz[Stellplatz],0)),4))),"?"))</f>
        <v/>
      </c>
      <c r="AF36" s="4">
        <f>IF(PlanLayout!AF36="","",PlanLayout!AF36&amp;CHAR(10)&amp;IFERROR(IF(INDEX(tblStellplatz[SAP],MATCH(PlanLayout!AF36,tblStellplatz[Stellplatz],0))="","leer",IF(LEFT(RIGHT(INDEX(tblStellplatz[SAP],MATCH(PlanLayout!AF36,tblStellplatz[Stellplatz],0)),4),1)="0",RIGHT(INDEX(tblStellplatz[SAP],MATCH(PlanLayout!AF36,tblStellplatz[Stellplatz],0)),5),RIGHT(INDEX(tblStellplatz[SAP],MATCH(PlanLayout!AF36,tblStellplatz[Stellplatz],0)),4))),"?"))</f>
        <v/>
      </c>
      <c r="AG36" s="4">
        <f>IF(PlanLayout!AG36="","",PlanLayout!AG36&amp;CHAR(10)&amp;IFERROR(IF(INDEX(tblStellplatz[SAP],MATCH(PlanLayout!AG36,tblStellplatz[Stellplatz],0))="","leer",IF(LEFT(RIGHT(INDEX(tblStellplatz[SAP],MATCH(PlanLayout!AG36,tblStellplatz[Stellplatz],0)),4),1)="0",RIGHT(INDEX(tblStellplatz[SAP],MATCH(PlanLayout!AG36,tblStellplatz[Stellplatz],0)),5),RIGHT(INDEX(tblStellplatz[SAP],MATCH(PlanLayout!AG36,tblStellplatz[Stellplatz],0)),4))),"?"))</f>
        <v/>
      </c>
      <c r="AH36" s="4">
        <f>IF(PlanLayout!AH36="","",PlanLayout!AH36&amp;CHAR(10)&amp;IFERROR(IF(INDEX(tblStellplatz[SAP],MATCH(PlanLayout!AH36,tblStellplatz[Stellplatz],0))="","leer",IF(LEFT(RIGHT(INDEX(tblStellplatz[SAP],MATCH(PlanLayout!AH36,tblStellplatz[Stellplatz],0)),4),1)="0",RIGHT(INDEX(tblStellplatz[SAP],MATCH(PlanLayout!AH36,tblStellplatz[Stellplatz],0)),5),RIGHT(INDEX(tblStellplatz[SAP],MATCH(PlanLayout!AH36,tblStellplatz[Stellplatz],0)),4))),"?"))</f>
        <v/>
      </c>
      <c r="AI36" s="4">
        <f>IF(PlanLayout!AI36="","",PlanLayout!AI36&amp;CHAR(10)&amp;IFERROR(IF(INDEX(tblStellplatz[SAP],MATCH(PlanLayout!AI36,tblStellplatz[Stellplatz],0))="","leer",IF(LEFT(RIGHT(INDEX(tblStellplatz[SAP],MATCH(PlanLayout!AI36,tblStellplatz[Stellplatz],0)),4),1)="0",RIGHT(INDEX(tblStellplatz[SAP],MATCH(PlanLayout!AI36,tblStellplatz[Stellplatz],0)),5),RIGHT(INDEX(tblStellplatz[SAP],MATCH(PlanLayout!AI36,tblStellplatz[Stellplatz],0)),4))),"?"))</f>
        <v/>
      </c>
      <c r="AJ36" s="4">
        <f>IF(PlanLayout!AJ36="","",PlanLayout!AJ36&amp;CHAR(10)&amp;IFERROR(IF(INDEX(tblStellplatz[SAP],MATCH(PlanLayout!AJ36,tblStellplatz[Stellplatz],0))="","leer",IF(LEFT(RIGHT(INDEX(tblStellplatz[SAP],MATCH(PlanLayout!AJ36,tblStellplatz[Stellplatz],0)),4),1)="0",RIGHT(INDEX(tblStellplatz[SAP],MATCH(PlanLayout!AJ36,tblStellplatz[Stellplatz],0)),5),RIGHT(INDEX(tblStellplatz[SAP],MATCH(PlanLayout!AJ36,tblStellplatz[Stellplatz],0)),4))),"?"))</f>
        <v/>
      </c>
      <c r="AK36" s="4">
        <f>IF(PlanLayout!AK36="","",PlanLayout!AK36&amp;CHAR(10)&amp;IFERROR(IF(INDEX(tblStellplatz[SAP],MATCH(PlanLayout!AK36,tblStellplatz[Stellplatz],0))="","leer",IF(LEFT(RIGHT(INDEX(tblStellplatz[SAP],MATCH(PlanLayout!AK36,tblStellplatz[Stellplatz],0)),4),1)="0",RIGHT(INDEX(tblStellplatz[SAP],MATCH(PlanLayout!AK36,tblStellplatz[Stellplatz],0)),5),RIGHT(INDEX(tblStellplatz[SAP],MATCH(PlanLayout!AK36,tblStellplatz[Stellplatz],0)),4))),"?"))</f>
        <v/>
      </c>
      <c r="AL36" s="4">
        <f>IF(PlanLayout!AL36="","",PlanLayout!AL36&amp;CHAR(10)&amp;IFERROR(IF(INDEX(tblStellplatz[SAP],MATCH(PlanLayout!AL36,tblStellplatz[Stellplatz],0))="","leer",IF(LEFT(RIGHT(INDEX(tblStellplatz[SAP],MATCH(PlanLayout!AL36,tblStellplatz[Stellplatz],0)),4),1)="0",RIGHT(INDEX(tblStellplatz[SAP],MATCH(PlanLayout!AL36,tblStellplatz[Stellplatz],0)),5),RIGHT(INDEX(tblStellplatz[SAP],MATCH(PlanLayout!AL36,tblStellplatz[Stellplatz],0)),4))),"?"))</f>
        <v/>
      </c>
      <c r="AM36" s="4">
        <f>IF(PlanLayout!AM36="","",PlanLayout!AM36&amp;CHAR(10)&amp;IFERROR(IF(INDEX(tblStellplatz[SAP],MATCH(PlanLayout!AM36,tblStellplatz[Stellplatz],0))="","leer",IF(LEFT(RIGHT(INDEX(tblStellplatz[SAP],MATCH(PlanLayout!AM36,tblStellplatz[Stellplatz],0)),4),1)="0",RIGHT(INDEX(tblStellplatz[SAP],MATCH(PlanLayout!AM36,tblStellplatz[Stellplatz],0)),5),RIGHT(INDEX(tblStellplatz[SAP],MATCH(PlanLayout!AM36,tblStellplatz[Stellplatz],0)),4))),"?"))</f>
        <v/>
      </c>
      <c r="AN36" s="4">
        <f>IF(PlanLayout!AN36="","",PlanLayout!AN36&amp;CHAR(10)&amp;IFERROR(IF(INDEX(tblStellplatz[SAP],MATCH(PlanLayout!AN36,tblStellplatz[Stellplatz],0))="","leer",IF(LEFT(RIGHT(INDEX(tblStellplatz[SAP],MATCH(PlanLayout!AN36,tblStellplatz[Stellplatz],0)),4),1)="0",RIGHT(INDEX(tblStellplatz[SAP],MATCH(PlanLayout!AN36,tblStellplatz[Stellplatz],0)),5),RIGHT(INDEX(tblStellplatz[SAP],MATCH(PlanLayout!AN36,tblStellplatz[Stellplatz],0)),4))),"?"))</f>
        <v/>
      </c>
      <c r="AO36" s="4">
        <f>IF(PlanLayout!AO36="","",PlanLayout!AO36&amp;CHAR(10)&amp;IFERROR(IF(INDEX(tblStellplatz[SAP],MATCH(PlanLayout!AO36,tblStellplatz[Stellplatz],0))="","leer",IF(LEFT(RIGHT(INDEX(tblStellplatz[SAP],MATCH(PlanLayout!AO36,tblStellplatz[Stellplatz],0)),4),1)="0",RIGHT(INDEX(tblStellplatz[SAP],MATCH(PlanLayout!AO36,tblStellplatz[Stellplatz],0)),5),RIGHT(INDEX(tblStellplatz[SAP],MATCH(PlanLayout!AO36,tblStellplatz[Stellplatz],0)),4))),"?"))</f>
        <v/>
      </c>
    </row>
    <row r="37" ht="30" customHeight="1">
      <c r="B37" s="4">
        <f>IF(PlanLayout!B37="","",PlanLayout!B37&amp;CHAR(10)&amp;IFERROR(IF(INDEX(tblStellplatz[SAP],MATCH(PlanLayout!B37,tblStellplatz[Stellplatz],0))="","leer",IF(LEFT(RIGHT(INDEX(tblStellplatz[SAP],MATCH(PlanLayout!B37,tblStellplatz[Stellplatz],0)),4),1)="0",RIGHT(INDEX(tblStellplatz[SAP],MATCH(PlanLayout!B37,tblStellplatz[Stellplatz],0)),5),RIGHT(INDEX(tblStellplatz[SAP],MATCH(PlanLayout!B37,tblStellplatz[Stellplatz],0)),4))),"?"))</f>
        <v/>
      </c>
      <c r="C37" s="4">
        <f>IF(PlanLayout!C37="","",PlanLayout!C37&amp;CHAR(10)&amp;IFERROR(IF(INDEX(tblStellplatz[SAP],MATCH(PlanLayout!C37,tblStellplatz[Stellplatz],0))="","leer",IF(LEFT(RIGHT(INDEX(tblStellplatz[SAP],MATCH(PlanLayout!C37,tblStellplatz[Stellplatz],0)),4),1)="0",RIGHT(INDEX(tblStellplatz[SAP],MATCH(PlanLayout!C37,tblStellplatz[Stellplatz],0)),5),RIGHT(INDEX(tblStellplatz[SAP],MATCH(PlanLayout!C37,tblStellplatz[Stellplatz],0)),4))),"?"))</f>
        <v/>
      </c>
      <c r="D37" s="4">
        <f>IF(PlanLayout!D37="","",PlanLayout!D37&amp;CHAR(10)&amp;IFERROR(IF(INDEX(tblStellplatz[SAP],MATCH(PlanLayout!D37,tblStellplatz[Stellplatz],0))="","leer",IF(LEFT(RIGHT(INDEX(tblStellplatz[SAP],MATCH(PlanLayout!D37,tblStellplatz[Stellplatz],0)),4),1)="0",RIGHT(INDEX(tblStellplatz[SAP],MATCH(PlanLayout!D37,tblStellplatz[Stellplatz],0)),5),RIGHT(INDEX(tblStellplatz[SAP],MATCH(PlanLayout!D37,tblStellplatz[Stellplatz],0)),4))),"?"))</f>
        <v/>
      </c>
      <c r="E37" s="4">
        <f>IF(PlanLayout!E37="","",PlanLayout!E37&amp;CHAR(10)&amp;IFERROR(IF(INDEX(tblStellplatz[SAP],MATCH(PlanLayout!E37,tblStellplatz[Stellplatz],0))="","leer",IF(LEFT(RIGHT(INDEX(tblStellplatz[SAP],MATCH(PlanLayout!E37,tblStellplatz[Stellplatz],0)),4),1)="0",RIGHT(INDEX(tblStellplatz[SAP],MATCH(PlanLayout!E37,tblStellplatz[Stellplatz],0)),5),RIGHT(INDEX(tblStellplatz[SAP],MATCH(PlanLayout!E37,tblStellplatz[Stellplatz],0)),4))),"?"))</f>
        <v/>
      </c>
      <c r="F37" s="4">
        <f>IF(PlanLayout!F37="","",PlanLayout!F37&amp;CHAR(10)&amp;IFERROR(IF(INDEX(tblStellplatz[SAP],MATCH(PlanLayout!F37,tblStellplatz[Stellplatz],0))="","leer",IF(LEFT(RIGHT(INDEX(tblStellplatz[SAP],MATCH(PlanLayout!F37,tblStellplatz[Stellplatz],0)),4),1)="0",RIGHT(INDEX(tblStellplatz[SAP],MATCH(PlanLayout!F37,tblStellplatz[Stellplatz],0)),5),RIGHT(INDEX(tblStellplatz[SAP],MATCH(PlanLayout!F37,tblStellplatz[Stellplatz],0)),4))),"?"))</f>
        <v/>
      </c>
      <c r="G37" s="4">
        <f>IF(PlanLayout!G37="","",PlanLayout!G37&amp;CHAR(10)&amp;IFERROR(IF(INDEX(tblStellplatz[SAP],MATCH(PlanLayout!G37,tblStellplatz[Stellplatz],0))="","leer",IF(LEFT(RIGHT(INDEX(tblStellplatz[SAP],MATCH(PlanLayout!G37,tblStellplatz[Stellplatz],0)),4),1)="0",RIGHT(INDEX(tblStellplatz[SAP],MATCH(PlanLayout!G37,tblStellplatz[Stellplatz],0)),5),RIGHT(INDEX(tblStellplatz[SAP],MATCH(PlanLayout!G37,tblStellplatz[Stellplatz],0)),4))),"?"))</f>
        <v/>
      </c>
      <c r="H37" s="4">
        <f>IF(PlanLayout!H37="","",PlanLayout!H37&amp;CHAR(10)&amp;IFERROR(IF(INDEX(tblStellplatz[SAP],MATCH(PlanLayout!H37,tblStellplatz[Stellplatz],0))="","leer",IF(LEFT(RIGHT(INDEX(tblStellplatz[SAP],MATCH(PlanLayout!H37,tblStellplatz[Stellplatz],0)),4),1)="0",RIGHT(INDEX(tblStellplatz[SAP],MATCH(PlanLayout!H37,tblStellplatz[Stellplatz],0)),5),RIGHT(INDEX(tblStellplatz[SAP],MATCH(PlanLayout!H37,tblStellplatz[Stellplatz],0)),4))),"?"))</f>
        <v/>
      </c>
      <c r="I37" s="4">
        <f>IF(PlanLayout!I37="","",PlanLayout!I37&amp;CHAR(10)&amp;IFERROR(IF(INDEX(tblStellplatz[SAP],MATCH(PlanLayout!I37,tblStellplatz[Stellplatz],0))="","leer",IF(LEFT(RIGHT(INDEX(tblStellplatz[SAP],MATCH(PlanLayout!I37,tblStellplatz[Stellplatz],0)),4),1)="0",RIGHT(INDEX(tblStellplatz[SAP],MATCH(PlanLayout!I37,tblStellplatz[Stellplatz],0)),5),RIGHT(INDEX(tblStellplatz[SAP],MATCH(PlanLayout!I37,tblStellplatz[Stellplatz],0)),4))),"?"))</f>
        <v/>
      </c>
      <c r="J37" s="4">
        <f>IF(PlanLayout!J37="","",PlanLayout!J37&amp;CHAR(10)&amp;IFERROR(IF(INDEX(tblStellplatz[SAP],MATCH(PlanLayout!J37,tblStellplatz[Stellplatz],0))="","leer",IF(LEFT(RIGHT(INDEX(tblStellplatz[SAP],MATCH(PlanLayout!J37,tblStellplatz[Stellplatz],0)),4),1)="0",RIGHT(INDEX(tblStellplatz[SAP],MATCH(PlanLayout!J37,tblStellplatz[Stellplatz],0)),5),RIGHT(INDEX(tblStellplatz[SAP],MATCH(PlanLayout!J37,tblStellplatz[Stellplatz],0)),4))),"?"))</f>
        <v/>
      </c>
      <c r="K37" s="4">
        <f>IF(PlanLayout!K37="","",PlanLayout!K37&amp;CHAR(10)&amp;IFERROR(IF(INDEX(tblStellplatz[SAP],MATCH(PlanLayout!K37,tblStellplatz[Stellplatz],0))="","leer",IF(LEFT(RIGHT(INDEX(tblStellplatz[SAP],MATCH(PlanLayout!K37,tblStellplatz[Stellplatz],0)),4),1)="0",RIGHT(INDEX(tblStellplatz[SAP],MATCH(PlanLayout!K37,tblStellplatz[Stellplatz],0)),5),RIGHT(INDEX(tblStellplatz[SAP],MATCH(PlanLayout!K37,tblStellplatz[Stellplatz],0)),4))),"?"))</f>
        <v/>
      </c>
      <c r="L37" s="4">
        <f>IF(PlanLayout!L37="","",PlanLayout!L37&amp;CHAR(10)&amp;IFERROR(IF(INDEX(tblStellplatz[SAP],MATCH(PlanLayout!L37,tblStellplatz[Stellplatz],0))="","leer",IF(LEFT(RIGHT(INDEX(tblStellplatz[SAP],MATCH(PlanLayout!L37,tblStellplatz[Stellplatz],0)),4),1)="0",RIGHT(INDEX(tblStellplatz[SAP],MATCH(PlanLayout!L37,tblStellplatz[Stellplatz],0)),5),RIGHT(INDEX(tblStellplatz[SAP],MATCH(PlanLayout!L37,tblStellplatz[Stellplatz],0)),4))),"?"))</f>
        <v/>
      </c>
      <c r="M37" s="4">
        <f>IF(PlanLayout!M37="","",PlanLayout!M37&amp;CHAR(10)&amp;IFERROR(IF(INDEX(tblStellplatz[SAP],MATCH(PlanLayout!M37,tblStellplatz[Stellplatz],0))="","leer",IF(LEFT(RIGHT(INDEX(tblStellplatz[SAP],MATCH(PlanLayout!M37,tblStellplatz[Stellplatz],0)),4),1)="0",RIGHT(INDEX(tblStellplatz[SAP],MATCH(PlanLayout!M37,tblStellplatz[Stellplatz],0)),5),RIGHT(INDEX(tblStellplatz[SAP],MATCH(PlanLayout!M37,tblStellplatz[Stellplatz],0)),4))),"?"))</f>
        <v/>
      </c>
      <c r="N37" s="4">
        <f>IF(PlanLayout!N37="","",PlanLayout!N37&amp;CHAR(10)&amp;IFERROR(IF(INDEX(tblStellplatz[SAP],MATCH(PlanLayout!N37,tblStellplatz[Stellplatz],0))="","leer",IF(LEFT(RIGHT(INDEX(tblStellplatz[SAP],MATCH(PlanLayout!N37,tblStellplatz[Stellplatz],0)),4),1)="0",RIGHT(INDEX(tblStellplatz[SAP],MATCH(PlanLayout!N37,tblStellplatz[Stellplatz],0)),5),RIGHT(INDEX(tblStellplatz[SAP],MATCH(PlanLayout!N37,tblStellplatz[Stellplatz],0)),4))),"?"))</f>
        <v/>
      </c>
      <c r="O37" s="4">
        <f>IF(PlanLayout!O37="","",PlanLayout!O37&amp;CHAR(10)&amp;IFERROR(IF(INDEX(tblStellplatz[SAP],MATCH(PlanLayout!O37,tblStellplatz[Stellplatz],0))="","leer",IF(LEFT(RIGHT(INDEX(tblStellplatz[SAP],MATCH(PlanLayout!O37,tblStellplatz[Stellplatz],0)),4),1)="0",RIGHT(INDEX(tblStellplatz[SAP],MATCH(PlanLayout!O37,tblStellplatz[Stellplatz],0)),5),RIGHT(INDEX(tblStellplatz[SAP],MATCH(PlanLayout!O37,tblStellplatz[Stellplatz],0)),4))),"?"))</f>
        <v/>
      </c>
      <c r="P37" s="4">
        <f>IF(PlanLayout!P37="","",PlanLayout!P37&amp;CHAR(10)&amp;IFERROR(IF(INDEX(tblStellplatz[SAP],MATCH(PlanLayout!P37,tblStellplatz[Stellplatz],0))="","leer",IF(LEFT(RIGHT(INDEX(tblStellplatz[SAP],MATCH(PlanLayout!P37,tblStellplatz[Stellplatz],0)),4),1)="0",RIGHT(INDEX(tblStellplatz[SAP],MATCH(PlanLayout!P37,tblStellplatz[Stellplatz],0)),5),RIGHT(INDEX(tblStellplatz[SAP],MATCH(PlanLayout!P37,tblStellplatz[Stellplatz],0)),4))),"?"))</f>
        <v/>
      </c>
      <c r="Q37" s="4">
        <f>IF(PlanLayout!Q37="","",PlanLayout!Q37&amp;CHAR(10)&amp;IFERROR(IF(INDEX(tblStellplatz[SAP],MATCH(PlanLayout!Q37,tblStellplatz[Stellplatz],0))="","leer",IF(LEFT(RIGHT(INDEX(tblStellplatz[SAP],MATCH(PlanLayout!Q37,tblStellplatz[Stellplatz],0)),4),1)="0",RIGHT(INDEX(tblStellplatz[SAP],MATCH(PlanLayout!Q37,tblStellplatz[Stellplatz],0)),5),RIGHT(INDEX(tblStellplatz[SAP],MATCH(PlanLayout!Q37,tblStellplatz[Stellplatz],0)),4))),"?"))</f>
        <v/>
      </c>
      <c r="R37" s="4">
        <f>IF(PlanLayout!R37="","",PlanLayout!R37&amp;CHAR(10)&amp;IFERROR(IF(INDEX(tblStellplatz[SAP],MATCH(PlanLayout!R37,tblStellplatz[Stellplatz],0))="","leer",IF(LEFT(RIGHT(INDEX(tblStellplatz[SAP],MATCH(PlanLayout!R37,tblStellplatz[Stellplatz],0)),4),1)="0",RIGHT(INDEX(tblStellplatz[SAP],MATCH(PlanLayout!R37,tblStellplatz[Stellplatz],0)),5),RIGHT(INDEX(tblStellplatz[SAP],MATCH(PlanLayout!R37,tblStellplatz[Stellplatz],0)),4))),"?"))</f>
        <v/>
      </c>
      <c r="S37" s="4">
        <f>IF(PlanLayout!S37="","",PlanLayout!S37&amp;CHAR(10)&amp;IFERROR(IF(INDEX(tblStellplatz[SAP],MATCH(PlanLayout!S37,tblStellplatz[Stellplatz],0))="","leer",IF(LEFT(RIGHT(INDEX(tblStellplatz[SAP],MATCH(PlanLayout!S37,tblStellplatz[Stellplatz],0)),4),1)="0",RIGHT(INDEX(tblStellplatz[SAP],MATCH(PlanLayout!S37,tblStellplatz[Stellplatz],0)),5),RIGHT(INDEX(tblStellplatz[SAP],MATCH(PlanLayout!S37,tblStellplatz[Stellplatz],0)),4))),"?"))</f>
        <v/>
      </c>
      <c r="T37" s="4">
        <f>IF(PlanLayout!T37="","",PlanLayout!T37&amp;CHAR(10)&amp;IFERROR(IF(INDEX(tblStellplatz[SAP],MATCH(PlanLayout!T37,tblStellplatz[Stellplatz],0))="","leer",IF(LEFT(RIGHT(INDEX(tblStellplatz[SAP],MATCH(PlanLayout!T37,tblStellplatz[Stellplatz],0)),4),1)="0",RIGHT(INDEX(tblStellplatz[SAP],MATCH(PlanLayout!T37,tblStellplatz[Stellplatz],0)),5),RIGHT(INDEX(tblStellplatz[SAP],MATCH(PlanLayout!T37,tblStellplatz[Stellplatz],0)),4))),"?"))</f>
        <v/>
      </c>
      <c r="U37" s="4">
        <f>IF(PlanLayout!U37="","",PlanLayout!U37&amp;CHAR(10)&amp;IFERROR(IF(INDEX(tblStellplatz[SAP],MATCH(PlanLayout!U37,tblStellplatz[Stellplatz],0))="","leer",IF(LEFT(RIGHT(INDEX(tblStellplatz[SAP],MATCH(PlanLayout!U37,tblStellplatz[Stellplatz],0)),4),1)="0",RIGHT(INDEX(tblStellplatz[SAP],MATCH(PlanLayout!U37,tblStellplatz[Stellplatz],0)),5),RIGHT(INDEX(tblStellplatz[SAP],MATCH(PlanLayout!U37,tblStellplatz[Stellplatz],0)),4))),"?"))</f>
        <v/>
      </c>
      <c r="V37" s="4">
        <f>IF(PlanLayout!V37="","",PlanLayout!V37&amp;CHAR(10)&amp;IFERROR(IF(INDEX(tblStellplatz[SAP],MATCH(PlanLayout!V37,tblStellplatz[Stellplatz],0))="","leer",IF(LEFT(RIGHT(INDEX(tblStellplatz[SAP],MATCH(PlanLayout!V37,tblStellplatz[Stellplatz],0)),4),1)="0",RIGHT(INDEX(tblStellplatz[SAP],MATCH(PlanLayout!V37,tblStellplatz[Stellplatz],0)),5),RIGHT(INDEX(tblStellplatz[SAP],MATCH(PlanLayout!V37,tblStellplatz[Stellplatz],0)),4))),"?"))</f>
        <v/>
      </c>
      <c r="W37" s="4">
        <f>IF(PlanLayout!W37="","",PlanLayout!W37&amp;CHAR(10)&amp;IFERROR(IF(INDEX(tblStellplatz[SAP],MATCH(PlanLayout!W37,tblStellplatz[Stellplatz],0))="","leer",IF(LEFT(RIGHT(INDEX(tblStellplatz[SAP],MATCH(PlanLayout!W37,tblStellplatz[Stellplatz],0)),4),1)="0",RIGHT(INDEX(tblStellplatz[SAP],MATCH(PlanLayout!W37,tblStellplatz[Stellplatz],0)),5),RIGHT(INDEX(tblStellplatz[SAP],MATCH(PlanLayout!W37,tblStellplatz[Stellplatz],0)),4))),"?"))</f>
        <v/>
      </c>
      <c r="X37" s="4">
        <f>IF(PlanLayout!X37="","",PlanLayout!X37&amp;CHAR(10)&amp;IFERROR(IF(INDEX(tblStellplatz[SAP],MATCH(PlanLayout!X37,tblStellplatz[Stellplatz],0))="","leer",IF(LEFT(RIGHT(INDEX(tblStellplatz[SAP],MATCH(PlanLayout!X37,tblStellplatz[Stellplatz],0)),4),1)="0",RIGHT(INDEX(tblStellplatz[SAP],MATCH(PlanLayout!X37,tblStellplatz[Stellplatz],0)),5),RIGHT(INDEX(tblStellplatz[SAP],MATCH(PlanLayout!X37,tblStellplatz[Stellplatz],0)),4))),"?"))</f>
        <v/>
      </c>
      <c r="Y37" s="4">
        <f>IF(PlanLayout!Y37="","",PlanLayout!Y37&amp;CHAR(10)&amp;IFERROR(IF(INDEX(tblStellplatz[SAP],MATCH(PlanLayout!Y37,tblStellplatz[Stellplatz],0))="","leer",IF(LEFT(RIGHT(INDEX(tblStellplatz[SAP],MATCH(PlanLayout!Y37,tblStellplatz[Stellplatz],0)),4),1)="0",RIGHT(INDEX(tblStellplatz[SAP],MATCH(PlanLayout!Y37,tblStellplatz[Stellplatz],0)),5),RIGHT(INDEX(tblStellplatz[SAP],MATCH(PlanLayout!Y37,tblStellplatz[Stellplatz],0)),4))),"?"))</f>
        <v/>
      </c>
      <c r="Z37" s="4">
        <f>IF(PlanLayout!Z37="","",PlanLayout!Z37&amp;CHAR(10)&amp;IFERROR(IF(INDEX(tblStellplatz[SAP],MATCH(PlanLayout!Z37,tblStellplatz[Stellplatz],0))="","leer",IF(LEFT(RIGHT(INDEX(tblStellplatz[SAP],MATCH(PlanLayout!Z37,tblStellplatz[Stellplatz],0)),4),1)="0",RIGHT(INDEX(tblStellplatz[SAP],MATCH(PlanLayout!Z37,tblStellplatz[Stellplatz],0)),5),RIGHT(INDEX(tblStellplatz[SAP],MATCH(PlanLayout!Z37,tblStellplatz[Stellplatz],0)),4))),"?"))</f>
        <v/>
      </c>
      <c r="AA37" s="4">
        <f>IF(PlanLayout!AA37="","",PlanLayout!AA37&amp;CHAR(10)&amp;IFERROR(IF(INDEX(tblStellplatz[SAP],MATCH(PlanLayout!AA37,tblStellplatz[Stellplatz],0))="","leer",IF(LEFT(RIGHT(INDEX(tblStellplatz[SAP],MATCH(PlanLayout!AA37,tblStellplatz[Stellplatz],0)),4),1)="0",RIGHT(INDEX(tblStellplatz[SAP],MATCH(PlanLayout!AA37,tblStellplatz[Stellplatz],0)),5),RIGHT(INDEX(tblStellplatz[SAP],MATCH(PlanLayout!AA37,tblStellplatz[Stellplatz],0)),4))),"?"))</f>
        <v/>
      </c>
      <c r="AB37" s="4">
        <f>IF(PlanLayout!AB37="","",PlanLayout!AB37&amp;CHAR(10)&amp;IFERROR(IF(INDEX(tblStellplatz[SAP],MATCH(PlanLayout!AB37,tblStellplatz[Stellplatz],0))="","leer",IF(LEFT(RIGHT(INDEX(tblStellplatz[SAP],MATCH(PlanLayout!AB37,tblStellplatz[Stellplatz],0)),4),1)="0",RIGHT(INDEX(tblStellplatz[SAP],MATCH(PlanLayout!AB37,tblStellplatz[Stellplatz],0)),5),RIGHT(INDEX(tblStellplatz[SAP],MATCH(PlanLayout!AB37,tblStellplatz[Stellplatz],0)),4))),"?"))</f>
        <v/>
      </c>
      <c r="AC37" s="4">
        <f>IF(PlanLayout!AC37="","",PlanLayout!AC37&amp;CHAR(10)&amp;IFERROR(IF(INDEX(tblStellplatz[SAP],MATCH(PlanLayout!AC37,tblStellplatz[Stellplatz],0))="","leer",IF(LEFT(RIGHT(INDEX(tblStellplatz[SAP],MATCH(PlanLayout!AC37,tblStellplatz[Stellplatz],0)),4),1)="0",RIGHT(INDEX(tblStellplatz[SAP],MATCH(PlanLayout!AC37,tblStellplatz[Stellplatz],0)),5),RIGHT(INDEX(tblStellplatz[SAP],MATCH(PlanLayout!AC37,tblStellplatz[Stellplatz],0)),4))),"?"))</f>
        <v/>
      </c>
      <c r="AD37" s="4">
        <f>IF(PlanLayout!AD37="","",PlanLayout!AD37&amp;CHAR(10)&amp;IFERROR(IF(INDEX(tblStellplatz[SAP],MATCH(PlanLayout!AD37,tblStellplatz[Stellplatz],0))="","leer",IF(LEFT(RIGHT(INDEX(tblStellplatz[SAP],MATCH(PlanLayout!AD37,tblStellplatz[Stellplatz],0)),4),1)="0",RIGHT(INDEX(tblStellplatz[SAP],MATCH(PlanLayout!AD37,tblStellplatz[Stellplatz],0)),5),RIGHT(INDEX(tblStellplatz[SAP],MATCH(PlanLayout!AD37,tblStellplatz[Stellplatz],0)),4))),"?"))</f>
        <v/>
      </c>
      <c r="AE37" s="4">
        <f>IF(PlanLayout!AE37="","",PlanLayout!AE37&amp;CHAR(10)&amp;IFERROR(IF(INDEX(tblStellplatz[SAP],MATCH(PlanLayout!AE37,tblStellplatz[Stellplatz],0))="","leer",IF(LEFT(RIGHT(INDEX(tblStellplatz[SAP],MATCH(PlanLayout!AE37,tblStellplatz[Stellplatz],0)),4),1)="0",RIGHT(INDEX(tblStellplatz[SAP],MATCH(PlanLayout!AE37,tblStellplatz[Stellplatz],0)),5),RIGHT(INDEX(tblStellplatz[SAP],MATCH(PlanLayout!AE37,tblStellplatz[Stellplatz],0)),4))),"?"))</f>
        <v/>
      </c>
      <c r="AF37" s="4">
        <f>IF(PlanLayout!AF37="","",PlanLayout!AF37&amp;CHAR(10)&amp;IFERROR(IF(INDEX(tblStellplatz[SAP],MATCH(PlanLayout!AF37,tblStellplatz[Stellplatz],0))="","leer",IF(LEFT(RIGHT(INDEX(tblStellplatz[SAP],MATCH(PlanLayout!AF37,tblStellplatz[Stellplatz],0)),4),1)="0",RIGHT(INDEX(tblStellplatz[SAP],MATCH(PlanLayout!AF37,tblStellplatz[Stellplatz],0)),5),RIGHT(INDEX(tblStellplatz[SAP],MATCH(PlanLayout!AF37,tblStellplatz[Stellplatz],0)),4))),"?"))</f>
        <v/>
      </c>
      <c r="AG37" s="4">
        <f>IF(PlanLayout!AG37="","",PlanLayout!AG37&amp;CHAR(10)&amp;IFERROR(IF(INDEX(tblStellplatz[SAP],MATCH(PlanLayout!AG37,tblStellplatz[Stellplatz],0))="","leer",IF(LEFT(RIGHT(INDEX(tblStellplatz[SAP],MATCH(PlanLayout!AG37,tblStellplatz[Stellplatz],0)),4),1)="0",RIGHT(INDEX(tblStellplatz[SAP],MATCH(PlanLayout!AG37,tblStellplatz[Stellplatz],0)),5),RIGHT(INDEX(tblStellplatz[SAP],MATCH(PlanLayout!AG37,tblStellplatz[Stellplatz],0)),4))),"?"))</f>
        <v/>
      </c>
      <c r="AH37" s="4">
        <f>IF(PlanLayout!AH37="","",PlanLayout!AH37&amp;CHAR(10)&amp;IFERROR(IF(INDEX(tblStellplatz[SAP],MATCH(PlanLayout!AH37,tblStellplatz[Stellplatz],0))="","leer",IF(LEFT(RIGHT(INDEX(tblStellplatz[SAP],MATCH(PlanLayout!AH37,tblStellplatz[Stellplatz],0)),4),1)="0",RIGHT(INDEX(tblStellplatz[SAP],MATCH(PlanLayout!AH37,tblStellplatz[Stellplatz],0)),5),RIGHT(INDEX(tblStellplatz[SAP],MATCH(PlanLayout!AH37,tblStellplatz[Stellplatz],0)),4))),"?"))</f>
        <v/>
      </c>
      <c r="AI37" s="4">
        <f>IF(PlanLayout!AI37="","",PlanLayout!AI37&amp;CHAR(10)&amp;IFERROR(IF(INDEX(tblStellplatz[SAP],MATCH(PlanLayout!AI37,tblStellplatz[Stellplatz],0))="","leer",IF(LEFT(RIGHT(INDEX(tblStellplatz[SAP],MATCH(PlanLayout!AI37,tblStellplatz[Stellplatz],0)),4),1)="0",RIGHT(INDEX(tblStellplatz[SAP],MATCH(PlanLayout!AI37,tblStellplatz[Stellplatz],0)),5),RIGHT(INDEX(tblStellplatz[SAP],MATCH(PlanLayout!AI37,tblStellplatz[Stellplatz],0)),4))),"?"))</f>
        <v/>
      </c>
      <c r="AJ37" s="4">
        <f>IF(PlanLayout!AJ37="","",PlanLayout!AJ37&amp;CHAR(10)&amp;IFERROR(IF(INDEX(tblStellplatz[SAP],MATCH(PlanLayout!AJ37,tblStellplatz[Stellplatz],0))="","leer",IF(LEFT(RIGHT(INDEX(tblStellplatz[SAP],MATCH(PlanLayout!AJ37,tblStellplatz[Stellplatz],0)),4),1)="0",RIGHT(INDEX(tblStellplatz[SAP],MATCH(PlanLayout!AJ37,tblStellplatz[Stellplatz],0)),5),RIGHT(INDEX(tblStellplatz[SAP],MATCH(PlanLayout!AJ37,tblStellplatz[Stellplatz],0)),4))),"?"))</f>
        <v/>
      </c>
      <c r="AK37" s="4">
        <f>IF(PlanLayout!AK37="","",PlanLayout!AK37&amp;CHAR(10)&amp;IFERROR(IF(INDEX(tblStellplatz[SAP],MATCH(PlanLayout!AK37,tblStellplatz[Stellplatz],0))="","leer",IF(LEFT(RIGHT(INDEX(tblStellplatz[SAP],MATCH(PlanLayout!AK37,tblStellplatz[Stellplatz],0)),4),1)="0",RIGHT(INDEX(tblStellplatz[SAP],MATCH(PlanLayout!AK37,tblStellplatz[Stellplatz],0)),5),RIGHT(INDEX(tblStellplatz[SAP],MATCH(PlanLayout!AK37,tblStellplatz[Stellplatz],0)),4))),"?"))</f>
        <v/>
      </c>
      <c r="AL37" s="4">
        <f>IF(PlanLayout!AL37="","",PlanLayout!AL37&amp;CHAR(10)&amp;IFERROR(IF(INDEX(tblStellplatz[SAP],MATCH(PlanLayout!AL37,tblStellplatz[Stellplatz],0))="","leer",IF(LEFT(RIGHT(INDEX(tblStellplatz[SAP],MATCH(PlanLayout!AL37,tblStellplatz[Stellplatz],0)),4),1)="0",RIGHT(INDEX(tblStellplatz[SAP],MATCH(PlanLayout!AL37,tblStellplatz[Stellplatz],0)),5),RIGHT(INDEX(tblStellplatz[SAP],MATCH(PlanLayout!AL37,tblStellplatz[Stellplatz],0)),4))),"?"))</f>
        <v/>
      </c>
      <c r="AM37" s="4">
        <f>IF(PlanLayout!AM37="","",PlanLayout!AM37&amp;CHAR(10)&amp;IFERROR(IF(INDEX(tblStellplatz[SAP],MATCH(PlanLayout!AM37,tblStellplatz[Stellplatz],0))="","leer",IF(LEFT(RIGHT(INDEX(tblStellplatz[SAP],MATCH(PlanLayout!AM37,tblStellplatz[Stellplatz],0)),4),1)="0",RIGHT(INDEX(tblStellplatz[SAP],MATCH(PlanLayout!AM37,tblStellplatz[Stellplatz],0)),5),RIGHT(INDEX(tblStellplatz[SAP],MATCH(PlanLayout!AM37,tblStellplatz[Stellplatz],0)),4))),"?"))</f>
        <v/>
      </c>
      <c r="AN37" s="4">
        <f>IF(PlanLayout!AN37="","",PlanLayout!AN37&amp;CHAR(10)&amp;IFERROR(IF(INDEX(tblStellplatz[SAP],MATCH(PlanLayout!AN37,tblStellplatz[Stellplatz],0))="","leer",IF(LEFT(RIGHT(INDEX(tblStellplatz[SAP],MATCH(PlanLayout!AN37,tblStellplatz[Stellplatz],0)),4),1)="0",RIGHT(INDEX(tblStellplatz[SAP],MATCH(PlanLayout!AN37,tblStellplatz[Stellplatz],0)),5),RIGHT(INDEX(tblStellplatz[SAP],MATCH(PlanLayout!AN37,tblStellplatz[Stellplatz],0)),4))),"?"))</f>
        <v/>
      </c>
      <c r="AO37" s="4">
        <f>IF(PlanLayout!AO37="","",PlanLayout!AO37&amp;CHAR(10)&amp;IFERROR(IF(INDEX(tblStellplatz[SAP],MATCH(PlanLayout!AO37,tblStellplatz[Stellplatz],0))="","leer",IF(LEFT(RIGHT(INDEX(tblStellplatz[SAP],MATCH(PlanLayout!AO37,tblStellplatz[Stellplatz],0)),4),1)="0",RIGHT(INDEX(tblStellplatz[SAP],MATCH(PlanLayout!AO37,tblStellplatz[Stellplatz],0)),5),RIGHT(INDEX(tblStellplatz[SAP],MATCH(PlanLayout!AO37,tblStellplatz[Stellplatz],0)),4))),"?"))</f>
        <v/>
      </c>
    </row>
    <row r="38" ht="30" customHeight="1">
      <c r="B38" s="4">
        <f>IF(PlanLayout!B38="","",PlanLayout!B38&amp;CHAR(10)&amp;IFERROR(IF(INDEX(tblStellplatz[SAP],MATCH(PlanLayout!B38,tblStellplatz[Stellplatz],0))="","leer",IF(LEFT(RIGHT(INDEX(tblStellplatz[SAP],MATCH(PlanLayout!B38,tblStellplatz[Stellplatz],0)),4),1)="0",RIGHT(INDEX(tblStellplatz[SAP],MATCH(PlanLayout!B38,tblStellplatz[Stellplatz],0)),5),RIGHT(INDEX(tblStellplatz[SAP],MATCH(PlanLayout!B38,tblStellplatz[Stellplatz],0)),4))),"?"))</f>
        <v/>
      </c>
      <c r="C38" s="4">
        <f>IF(PlanLayout!C38="","",PlanLayout!C38&amp;CHAR(10)&amp;IFERROR(IF(INDEX(tblStellplatz[SAP],MATCH(PlanLayout!C38,tblStellplatz[Stellplatz],0))="","leer",IF(LEFT(RIGHT(INDEX(tblStellplatz[SAP],MATCH(PlanLayout!C38,tblStellplatz[Stellplatz],0)),4),1)="0",RIGHT(INDEX(tblStellplatz[SAP],MATCH(PlanLayout!C38,tblStellplatz[Stellplatz],0)),5),RIGHT(INDEX(tblStellplatz[SAP],MATCH(PlanLayout!C38,tblStellplatz[Stellplatz],0)),4))),"?"))</f>
        <v/>
      </c>
      <c r="D38" s="4">
        <f>IF(PlanLayout!D38="","",PlanLayout!D38&amp;CHAR(10)&amp;IFERROR(IF(INDEX(tblStellplatz[SAP],MATCH(PlanLayout!D38,tblStellplatz[Stellplatz],0))="","leer",IF(LEFT(RIGHT(INDEX(tblStellplatz[SAP],MATCH(PlanLayout!D38,tblStellplatz[Stellplatz],0)),4),1)="0",RIGHT(INDEX(tblStellplatz[SAP],MATCH(PlanLayout!D38,tblStellplatz[Stellplatz],0)),5),RIGHT(INDEX(tblStellplatz[SAP],MATCH(PlanLayout!D38,tblStellplatz[Stellplatz],0)),4))),"?"))</f>
        <v/>
      </c>
      <c r="E38" s="4">
        <f>IF(PlanLayout!E38="","",PlanLayout!E38&amp;CHAR(10)&amp;IFERROR(IF(INDEX(tblStellplatz[SAP],MATCH(PlanLayout!E38,tblStellplatz[Stellplatz],0))="","leer",IF(LEFT(RIGHT(INDEX(tblStellplatz[SAP],MATCH(PlanLayout!E38,tblStellplatz[Stellplatz],0)),4),1)="0",RIGHT(INDEX(tblStellplatz[SAP],MATCH(PlanLayout!E38,tblStellplatz[Stellplatz],0)),5),RIGHT(INDEX(tblStellplatz[SAP],MATCH(PlanLayout!E38,tblStellplatz[Stellplatz],0)),4))),"?"))</f>
        <v/>
      </c>
      <c r="F38" s="4">
        <f>IF(PlanLayout!F38="","",PlanLayout!F38&amp;CHAR(10)&amp;IFERROR(IF(INDEX(tblStellplatz[SAP],MATCH(PlanLayout!F38,tblStellplatz[Stellplatz],0))="","leer",IF(LEFT(RIGHT(INDEX(tblStellplatz[SAP],MATCH(PlanLayout!F38,tblStellplatz[Stellplatz],0)),4),1)="0",RIGHT(INDEX(tblStellplatz[SAP],MATCH(PlanLayout!F38,tblStellplatz[Stellplatz],0)),5),RIGHT(INDEX(tblStellplatz[SAP],MATCH(PlanLayout!F38,tblStellplatz[Stellplatz],0)),4))),"?"))</f>
        <v/>
      </c>
      <c r="G38" s="4">
        <f>IF(PlanLayout!G38="","",PlanLayout!G38&amp;CHAR(10)&amp;IFERROR(IF(INDEX(tblStellplatz[SAP],MATCH(PlanLayout!G38,tblStellplatz[Stellplatz],0))="","leer",IF(LEFT(RIGHT(INDEX(tblStellplatz[SAP],MATCH(PlanLayout!G38,tblStellplatz[Stellplatz],0)),4),1)="0",RIGHT(INDEX(tblStellplatz[SAP],MATCH(PlanLayout!G38,tblStellplatz[Stellplatz],0)),5),RIGHT(INDEX(tblStellplatz[SAP],MATCH(PlanLayout!G38,tblStellplatz[Stellplatz],0)),4))),"?"))</f>
        <v/>
      </c>
      <c r="H38" s="4">
        <f>IF(PlanLayout!H38="","",PlanLayout!H38&amp;CHAR(10)&amp;IFERROR(IF(INDEX(tblStellplatz[SAP],MATCH(PlanLayout!H38,tblStellplatz[Stellplatz],0))="","leer",IF(LEFT(RIGHT(INDEX(tblStellplatz[SAP],MATCH(PlanLayout!H38,tblStellplatz[Stellplatz],0)),4),1)="0",RIGHT(INDEX(tblStellplatz[SAP],MATCH(PlanLayout!H38,tblStellplatz[Stellplatz],0)),5),RIGHT(INDEX(tblStellplatz[SAP],MATCH(PlanLayout!H38,tblStellplatz[Stellplatz],0)),4))),"?"))</f>
        <v/>
      </c>
      <c r="I38" s="4">
        <f>IF(PlanLayout!I38="","",PlanLayout!I38&amp;CHAR(10)&amp;IFERROR(IF(INDEX(tblStellplatz[SAP],MATCH(PlanLayout!I38,tblStellplatz[Stellplatz],0))="","leer",IF(LEFT(RIGHT(INDEX(tblStellplatz[SAP],MATCH(PlanLayout!I38,tblStellplatz[Stellplatz],0)),4),1)="0",RIGHT(INDEX(tblStellplatz[SAP],MATCH(PlanLayout!I38,tblStellplatz[Stellplatz],0)),5),RIGHT(INDEX(tblStellplatz[SAP],MATCH(PlanLayout!I38,tblStellplatz[Stellplatz],0)),4))),"?"))</f>
        <v/>
      </c>
      <c r="J38" s="4">
        <f>IF(PlanLayout!J38="","",PlanLayout!J38&amp;CHAR(10)&amp;IFERROR(IF(INDEX(tblStellplatz[SAP],MATCH(PlanLayout!J38,tblStellplatz[Stellplatz],0))="","leer",IF(LEFT(RIGHT(INDEX(tblStellplatz[SAP],MATCH(PlanLayout!J38,tblStellplatz[Stellplatz],0)),4),1)="0",RIGHT(INDEX(tblStellplatz[SAP],MATCH(PlanLayout!J38,tblStellplatz[Stellplatz],0)),5),RIGHT(INDEX(tblStellplatz[SAP],MATCH(PlanLayout!J38,tblStellplatz[Stellplatz],0)),4))),"?"))</f>
        <v/>
      </c>
      <c r="K38" s="4">
        <f>IF(PlanLayout!K38="","",PlanLayout!K38&amp;CHAR(10)&amp;IFERROR(IF(INDEX(tblStellplatz[SAP],MATCH(PlanLayout!K38,tblStellplatz[Stellplatz],0))="","leer",IF(LEFT(RIGHT(INDEX(tblStellplatz[SAP],MATCH(PlanLayout!K38,tblStellplatz[Stellplatz],0)),4),1)="0",RIGHT(INDEX(tblStellplatz[SAP],MATCH(PlanLayout!K38,tblStellplatz[Stellplatz],0)),5),RIGHT(INDEX(tblStellplatz[SAP],MATCH(PlanLayout!K38,tblStellplatz[Stellplatz],0)),4))),"?"))</f>
        <v/>
      </c>
      <c r="L38" s="4">
        <f>IF(PlanLayout!L38="","",PlanLayout!L38&amp;CHAR(10)&amp;IFERROR(IF(INDEX(tblStellplatz[SAP],MATCH(PlanLayout!L38,tblStellplatz[Stellplatz],0))="","leer",IF(LEFT(RIGHT(INDEX(tblStellplatz[SAP],MATCH(PlanLayout!L38,tblStellplatz[Stellplatz],0)),4),1)="0",RIGHT(INDEX(tblStellplatz[SAP],MATCH(PlanLayout!L38,tblStellplatz[Stellplatz],0)),5),RIGHT(INDEX(tblStellplatz[SAP],MATCH(PlanLayout!L38,tblStellplatz[Stellplatz],0)),4))),"?"))</f>
        <v/>
      </c>
      <c r="M38" s="4">
        <f>IF(PlanLayout!M38="","",PlanLayout!M38&amp;CHAR(10)&amp;IFERROR(IF(INDEX(tblStellplatz[SAP],MATCH(PlanLayout!M38,tblStellplatz[Stellplatz],0))="","leer",IF(LEFT(RIGHT(INDEX(tblStellplatz[SAP],MATCH(PlanLayout!M38,tblStellplatz[Stellplatz],0)),4),1)="0",RIGHT(INDEX(tblStellplatz[SAP],MATCH(PlanLayout!M38,tblStellplatz[Stellplatz],0)),5),RIGHT(INDEX(tblStellplatz[SAP],MATCH(PlanLayout!M38,tblStellplatz[Stellplatz],0)),4))),"?"))</f>
        <v/>
      </c>
      <c r="N38" s="4">
        <f>IF(PlanLayout!N38="","",PlanLayout!N38&amp;CHAR(10)&amp;IFERROR(IF(INDEX(tblStellplatz[SAP],MATCH(PlanLayout!N38,tblStellplatz[Stellplatz],0))="","leer",IF(LEFT(RIGHT(INDEX(tblStellplatz[SAP],MATCH(PlanLayout!N38,tblStellplatz[Stellplatz],0)),4),1)="0",RIGHT(INDEX(tblStellplatz[SAP],MATCH(PlanLayout!N38,tblStellplatz[Stellplatz],0)),5),RIGHT(INDEX(tblStellplatz[SAP],MATCH(PlanLayout!N38,tblStellplatz[Stellplatz],0)),4))),"?"))</f>
        <v/>
      </c>
      <c r="O38" s="4">
        <f>IF(PlanLayout!O38="","",PlanLayout!O38&amp;CHAR(10)&amp;IFERROR(IF(INDEX(tblStellplatz[SAP],MATCH(PlanLayout!O38,tblStellplatz[Stellplatz],0))="","leer",IF(LEFT(RIGHT(INDEX(tblStellplatz[SAP],MATCH(PlanLayout!O38,tblStellplatz[Stellplatz],0)),4),1)="0",RIGHT(INDEX(tblStellplatz[SAP],MATCH(PlanLayout!O38,tblStellplatz[Stellplatz],0)),5),RIGHT(INDEX(tblStellplatz[SAP],MATCH(PlanLayout!O38,tblStellplatz[Stellplatz],0)),4))),"?"))</f>
        <v/>
      </c>
      <c r="P38" s="4">
        <f>IF(PlanLayout!P38="","",PlanLayout!P38&amp;CHAR(10)&amp;IFERROR(IF(INDEX(tblStellplatz[SAP],MATCH(PlanLayout!P38,tblStellplatz[Stellplatz],0))="","leer",IF(LEFT(RIGHT(INDEX(tblStellplatz[SAP],MATCH(PlanLayout!P38,tblStellplatz[Stellplatz],0)),4),1)="0",RIGHT(INDEX(tblStellplatz[SAP],MATCH(PlanLayout!P38,tblStellplatz[Stellplatz],0)),5),RIGHT(INDEX(tblStellplatz[SAP],MATCH(PlanLayout!P38,tblStellplatz[Stellplatz],0)),4))),"?"))</f>
        <v/>
      </c>
      <c r="Q38" s="4">
        <f>IF(PlanLayout!Q38="","",PlanLayout!Q38&amp;CHAR(10)&amp;IFERROR(IF(INDEX(tblStellplatz[SAP],MATCH(PlanLayout!Q38,tblStellplatz[Stellplatz],0))="","leer",IF(LEFT(RIGHT(INDEX(tblStellplatz[SAP],MATCH(PlanLayout!Q38,tblStellplatz[Stellplatz],0)),4),1)="0",RIGHT(INDEX(tblStellplatz[SAP],MATCH(PlanLayout!Q38,tblStellplatz[Stellplatz],0)),5),RIGHT(INDEX(tblStellplatz[SAP],MATCH(PlanLayout!Q38,tblStellplatz[Stellplatz],0)),4))),"?"))</f>
        <v/>
      </c>
      <c r="R38" s="4">
        <f>IF(PlanLayout!R38="","",PlanLayout!R38&amp;CHAR(10)&amp;IFERROR(IF(INDEX(tblStellplatz[SAP],MATCH(PlanLayout!R38,tblStellplatz[Stellplatz],0))="","leer",IF(LEFT(RIGHT(INDEX(tblStellplatz[SAP],MATCH(PlanLayout!R38,tblStellplatz[Stellplatz],0)),4),1)="0",RIGHT(INDEX(tblStellplatz[SAP],MATCH(PlanLayout!R38,tblStellplatz[Stellplatz],0)),5),RIGHT(INDEX(tblStellplatz[SAP],MATCH(PlanLayout!R38,tblStellplatz[Stellplatz],0)),4))),"?"))</f>
        <v/>
      </c>
      <c r="S38" s="4">
        <f>IF(PlanLayout!S38="","",PlanLayout!S38&amp;CHAR(10)&amp;IFERROR(IF(INDEX(tblStellplatz[SAP],MATCH(PlanLayout!S38,tblStellplatz[Stellplatz],0))="","leer",IF(LEFT(RIGHT(INDEX(tblStellplatz[SAP],MATCH(PlanLayout!S38,tblStellplatz[Stellplatz],0)),4),1)="0",RIGHT(INDEX(tblStellplatz[SAP],MATCH(PlanLayout!S38,tblStellplatz[Stellplatz],0)),5),RIGHT(INDEX(tblStellplatz[SAP],MATCH(PlanLayout!S38,tblStellplatz[Stellplatz],0)),4))),"?"))</f>
        <v/>
      </c>
      <c r="T38" s="4">
        <f>IF(PlanLayout!T38="","",PlanLayout!T38&amp;CHAR(10)&amp;IFERROR(IF(INDEX(tblStellplatz[SAP],MATCH(PlanLayout!T38,tblStellplatz[Stellplatz],0))="","leer",IF(LEFT(RIGHT(INDEX(tblStellplatz[SAP],MATCH(PlanLayout!T38,tblStellplatz[Stellplatz],0)),4),1)="0",RIGHT(INDEX(tblStellplatz[SAP],MATCH(PlanLayout!T38,tblStellplatz[Stellplatz],0)),5),RIGHT(INDEX(tblStellplatz[SAP],MATCH(PlanLayout!T38,tblStellplatz[Stellplatz],0)),4))),"?"))</f>
        <v/>
      </c>
      <c r="U38" s="4">
        <f>IF(PlanLayout!U38="","",PlanLayout!U38&amp;CHAR(10)&amp;IFERROR(IF(INDEX(tblStellplatz[SAP],MATCH(PlanLayout!U38,tblStellplatz[Stellplatz],0))="","leer",IF(LEFT(RIGHT(INDEX(tblStellplatz[SAP],MATCH(PlanLayout!U38,tblStellplatz[Stellplatz],0)),4),1)="0",RIGHT(INDEX(tblStellplatz[SAP],MATCH(PlanLayout!U38,tblStellplatz[Stellplatz],0)),5),RIGHT(INDEX(tblStellplatz[SAP],MATCH(PlanLayout!U38,tblStellplatz[Stellplatz],0)),4))),"?"))</f>
        <v/>
      </c>
      <c r="V38" s="4">
        <f>IF(PlanLayout!V38="","",PlanLayout!V38&amp;CHAR(10)&amp;IFERROR(IF(INDEX(tblStellplatz[SAP],MATCH(PlanLayout!V38,tblStellplatz[Stellplatz],0))="","leer",IF(LEFT(RIGHT(INDEX(tblStellplatz[SAP],MATCH(PlanLayout!V38,tblStellplatz[Stellplatz],0)),4),1)="0",RIGHT(INDEX(tblStellplatz[SAP],MATCH(PlanLayout!V38,tblStellplatz[Stellplatz],0)),5),RIGHT(INDEX(tblStellplatz[SAP],MATCH(PlanLayout!V38,tblStellplatz[Stellplatz],0)),4))),"?"))</f>
        <v/>
      </c>
      <c r="W38" s="4">
        <f>IF(PlanLayout!W38="","",PlanLayout!W38&amp;CHAR(10)&amp;IFERROR(IF(INDEX(tblStellplatz[SAP],MATCH(PlanLayout!W38,tblStellplatz[Stellplatz],0))="","leer",IF(LEFT(RIGHT(INDEX(tblStellplatz[SAP],MATCH(PlanLayout!W38,tblStellplatz[Stellplatz],0)),4),1)="0",RIGHT(INDEX(tblStellplatz[SAP],MATCH(PlanLayout!W38,tblStellplatz[Stellplatz],0)),5),RIGHT(INDEX(tblStellplatz[SAP],MATCH(PlanLayout!W38,tblStellplatz[Stellplatz],0)),4))),"?"))</f>
        <v/>
      </c>
      <c r="X38" s="4">
        <f>IF(PlanLayout!X38="","",PlanLayout!X38&amp;CHAR(10)&amp;IFERROR(IF(INDEX(tblStellplatz[SAP],MATCH(PlanLayout!X38,tblStellplatz[Stellplatz],0))="","leer",IF(LEFT(RIGHT(INDEX(tblStellplatz[SAP],MATCH(PlanLayout!X38,tblStellplatz[Stellplatz],0)),4),1)="0",RIGHT(INDEX(tblStellplatz[SAP],MATCH(PlanLayout!X38,tblStellplatz[Stellplatz],0)),5),RIGHT(INDEX(tblStellplatz[SAP],MATCH(PlanLayout!X38,tblStellplatz[Stellplatz],0)),4))),"?"))</f>
        <v/>
      </c>
      <c r="Y38" s="4">
        <f>IF(PlanLayout!Y38="","",PlanLayout!Y38&amp;CHAR(10)&amp;IFERROR(IF(INDEX(tblStellplatz[SAP],MATCH(PlanLayout!Y38,tblStellplatz[Stellplatz],0))="","leer",IF(LEFT(RIGHT(INDEX(tblStellplatz[SAP],MATCH(PlanLayout!Y38,tblStellplatz[Stellplatz],0)),4),1)="0",RIGHT(INDEX(tblStellplatz[SAP],MATCH(PlanLayout!Y38,tblStellplatz[Stellplatz],0)),5),RIGHT(INDEX(tblStellplatz[SAP],MATCH(PlanLayout!Y38,tblStellplatz[Stellplatz],0)),4))),"?"))</f>
        <v/>
      </c>
      <c r="Z38" s="4">
        <f>IF(PlanLayout!Z38="","",PlanLayout!Z38&amp;CHAR(10)&amp;IFERROR(IF(INDEX(tblStellplatz[SAP],MATCH(PlanLayout!Z38,tblStellplatz[Stellplatz],0))="","leer",IF(LEFT(RIGHT(INDEX(tblStellplatz[SAP],MATCH(PlanLayout!Z38,tblStellplatz[Stellplatz],0)),4),1)="0",RIGHT(INDEX(tblStellplatz[SAP],MATCH(PlanLayout!Z38,tblStellplatz[Stellplatz],0)),5),RIGHT(INDEX(tblStellplatz[SAP],MATCH(PlanLayout!Z38,tblStellplatz[Stellplatz],0)),4))),"?"))</f>
        <v/>
      </c>
      <c r="AA38" s="4">
        <f>IF(PlanLayout!AA38="","",PlanLayout!AA38&amp;CHAR(10)&amp;IFERROR(IF(INDEX(tblStellplatz[SAP],MATCH(PlanLayout!AA38,tblStellplatz[Stellplatz],0))="","leer",IF(LEFT(RIGHT(INDEX(tblStellplatz[SAP],MATCH(PlanLayout!AA38,tblStellplatz[Stellplatz],0)),4),1)="0",RIGHT(INDEX(tblStellplatz[SAP],MATCH(PlanLayout!AA38,tblStellplatz[Stellplatz],0)),5),RIGHT(INDEX(tblStellplatz[SAP],MATCH(PlanLayout!AA38,tblStellplatz[Stellplatz],0)),4))),"?"))</f>
        <v/>
      </c>
      <c r="AB38" s="4">
        <f>IF(PlanLayout!AB38="","",PlanLayout!AB38&amp;CHAR(10)&amp;IFERROR(IF(INDEX(tblStellplatz[SAP],MATCH(PlanLayout!AB38,tblStellplatz[Stellplatz],0))="","leer",IF(LEFT(RIGHT(INDEX(tblStellplatz[SAP],MATCH(PlanLayout!AB38,tblStellplatz[Stellplatz],0)),4),1)="0",RIGHT(INDEX(tblStellplatz[SAP],MATCH(PlanLayout!AB38,tblStellplatz[Stellplatz],0)),5),RIGHT(INDEX(tblStellplatz[SAP],MATCH(PlanLayout!AB38,tblStellplatz[Stellplatz],0)),4))),"?"))</f>
        <v/>
      </c>
      <c r="AC38" s="4">
        <f>IF(PlanLayout!AC38="","",PlanLayout!AC38&amp;CHAR(10)&amp;IFERROR(IF(INDEX(tblStellplatz[SAP],MATCH(PlanLayout!AC38,tblStellplatz[Stellplatz],0))="","leer",IF(LEFT(RIGHT(INDEX(tblStellplatz[SAP],MATCH(PlanLayout!AC38,tblStellplatz[Stellplatz],0)),4),1)="0",RIGHT(INDEX(tblStellplatz[SAP],MATCH(PlanLayout!AC38,tblStellplatz[Stellplatz],0)),5),RIGHT(INDEX(tblStellplatz[SAP],MATCH(PlanLayout!AC38,tblStellplatz[Stellplatz],0)),4))),"?"))</f>
        <v/>
      </c>
      <c r="AD38" s="4">
        <f>IF(PlanLayout!AD38="","",PlanLayout!AD38&amp;CHAR(10)&amp;IFERROR(IF(INDEX(tblStellplatz[SAP],MATCH(PlanLayout!AD38,tblStellplatz[Stellplatz],0))="","leer",IF(LEFT(RIGHT(INDEX(tblStellplatz[SAP],MATCH(PlanLayout!AD38,tblStellplatz[Stellplatz],0)),4),1)="0",RIGHT(INDEX(tblStellplatz[SAP],MATCH(PlanLayout!AD38,tblStellplatz[Stellplatz],0)),5),RIGHT(INDEX(tblStellplatz[SAP],MATCH(PlanLayout!AD38,tblStellplatz[Stellplatz],0)),4))),"?"))</f>
        <v/>
      </c>
      <c r="AE38" s="4">
        <f>IF(PlanLayout!AE38="","",PlanLayout!AE38&amp;CHAR(10)&amp;IFERROR(IF(INDEX(tblStellplatz[SAP],MATCH(PlanLayout!AE38,tblStellplatz[Stellplatz],0))="","leer",IF(LEFT(RIGHT(INDEX(tblStellplatz[SAP],MATCH(PlanLayout!AE38,tblStellplatz[Stellplatz],0)),4),1)="0",RIGHT(INDEX(tblStellplatz[SAP],MATCH(PlanLayout!AE38,tblStellplatz[Stellplatz],0)),5),RIGHT(INDEX(tblStellplatz[SAP],MATCH(PlanLayout!AE38,tblStellplatz[Stellplatz],0)),4))),"?"))</f>
        <v/>
      </c>
      <c r="AF38" s="4">
        <f>IF(PlanLayout!AF38="","",PlanLayout!AF38&amp;CHAR(10)&amp;IFERROR(IF(INDEX(tblStellplatz[SAP],MATCH(PlanLayout!AF38,tblStellplatz[Stellplatz],0))="","leer",IF(LEFT(RIGHT(INDEX(tblStellplatz[SAP],MATCH(PlanLayout!AF38,tblStellplatz[Stellplatz],0)),4),1)="0",RIGHT(INDEX(tblStellplatz[SAP],MATCH(PlanLayout!AF38,tblStellplatz[Stellplatz],0)),5),RIGHT(INDEX(tblStellplatz[SAP],MATCH(PlanLayout!AF38,tblStellplatz[Stellplatz],0)),4))),"?"))</f>
        <v/>
      </c>
      <c r="AG38" s="4">
        <f>IF(PlanLayout!AG38="","",PlanLayout!AG38&amp;CHAR(10)&amp;IFERROR(IF(INDEX(tblStellplatz[SAP],MATCH(PlanLayout!AG38,tblStellplatz[Stellplatz],0))="","leer",IF(LEFT(RIGHT(INDEX(tblStellplatz[SAP],MATCH(PlanLayout!AG38,tblStellplatz[Stellplatz],0)),4),1)="0",RIGHT(INDEX(tblStellplatz[SAP],MATCH(PlanLayout!AG38,tblStellplatz[Stellplatz],0)),5),RIGHT(INDEX(tblStellplatz[SAP],MATCH(PlanLayout!AG38,tblStellplatz[Stellplatz],0)),4))),"?"))</f>
        <v/>
      </c>
      <c r="AH38" s="4">
        <f>IF(PlanLayout!AH38="","",PlanLayout!AH38&amp;CHAR(10)&amp;IFERROR(IF(INDEX(tblStellplatz[SAP],MATCH(PlanLayout!AH38,tblStellplatz[Stellplatz],0))="","leer",IF(LEFT(RIGHT(INDEX(tblStellplatz[SAP],MATCH(PlanLayout!AH38,tblStellplatz[Stellplatz],0)),4),1)="0",RIGHT(INDEX(tblStellplatz[SAP],MATCH(PlanLayout!AH38,tblStellplatz[Stellplatz],0)),5),RIGHT(INDEX(tblStellplatz[SAP],MATCH(PlanLayout!AH38,tblStellplatz[Stellplatz],0)),4))),"?"))</f>
        <v/>
      </c>
      <c r="AI38" s="4">
        <f>IF(PlanLayout!AI38="","",PlanLayout!AI38&amp;CHAR(10)&amp;IFERROR(IF(INDEX(tblStellplatz[SAP],MATCH(PlanLayout!AI38,tblStellplatz[Stellplatz],0))="","leer",IF(LEFT(RIGHT(INDEX(tblStellplatz[SAP],MATCH(PlanLayout!AI38,tblStellplatz[Stellplatz],0)),4),1)="0",RIGHT(INDEX(tblStellplatz[SAP],MATCH(PlanLayout!AI38,tblStellplatz[Stellplatz],0)),5),RIGHT(INDEX(tblStellplatz[SAP],MATCH(PlanLayout!AI38,tblStellplatz[Stellplatz],0)),4))),"?"))</f>
        <v/>
      </c>
      <c r="AJ38" s="4">
        <f>IF(PlanLayout!AJ38="","",PlanLayout!AJ38&amp;CHAR(10)&amp;IFERROR(IF(INDEX(tblStellplatz[SAP],MATCH(PlanLayout!AJ38,tblStellplatz[Stellplatz],0))="","leer",IF(LEFT(RIGHT(INDEX(tblStellplatz[SAP],MATCH(PlanLayout!AJ38,tblStellplatz[Stellplatz],0)),4),1)="0",RIGHT(INDEX(tblStellplatz[SAP],MATCH(PlanLayout!AJ38,tblStellplatz[Stellplatz],0)),5),RIGHT(INDEX(tblStellplatz[SAP],MATCH(PlanLayout!AJ38,tblStellplatz[Stellplatz],0)),4))),"?"))</f>
        <v/>
      </c>
      <c r="AK38" s="4">
        <f>IF(PlanLayout!AK38="","",PlanLayout!AK38&amp;CHAR(10)&amp;IFERROR(IF(INDEX(tblStellplatz[SAP],MATCH(PlanLayout!AK38,tblStellplatz[Stellplatz],0))="","leer",IF(LEFT(RIGHT(INDEX(tblStellplatz[SAP],MATCH(PlanLayout!AK38,tblStellplatz[Stellplatz],0)),4),1)="0",RIGHT(INDEX(tblStellplatz[SAP],MATCH(PlanLayout!AK38,tblStellplatz[Stellplatz],0)),5),RIGHT(INDEX(tblStellplatz[SAP],MATCH(PlanLayout!AK38,tblStellplatz[Stellplatz],0)),4))),"?"))</f>
        <v/>
      </c>
      <c r="AL38" s="4">
        <f>IF(PlanLayout!AL38="","",PlanLayout!AL38&amp;CHAR(10)&amp;IFERROR(IF(INDEX(tblStellplatz[SAP],MATCH(PlanLayout!AL38,tblStellplatz[Stellplatz],0))="","leer",IF(LEFT(RIGHT(INDEX(tblStellplatz[SAP],MATCH(PlanLayout!AL38,tblStellplatz[Stellplatz],0)),4),1)="0",RIGHT(INDEX(tblStellplatz[SAP],MATCH(PlanLayout!AL38,tblStellplatz[Stellplatz],0)),5),RIGHT(INDEX(tblStellplatz[SAP],MATCH(PlanLayout!AL38,tblStellplatz[Stellplatz],0)),4))),"?"))</f>
        <v/>
      </c>
      <c r="AM38" s="4">
        <f>IF(PlanLayout!AM38="","",PlanLayout!AM38&amp;CHAR(10)&amp;IFERROR(IF(INDEX(tblStellplatz[SAP],MATCH(PlanLayout!AM38,tblStellplatz[Stellplatz],0))="","leer",IF(LEFT(RIGHT(INDEX(tblStellplatz[SAP],MATCH(PlanLayout!AM38,tblStellplatz[Stellplatz],0)),4),1)="0",RIGHT(INDEX(tblStellplatz[SAP],MATCH(PlanLayout!AM38,tblStellplatz[Stellplatz],0)),5),RIGHT(INDEX(tblStellplatz[SAP],MATCH(PlanLayout!AM38,tblStellplatz[Stellplatz],0)),4))),"?"))</f>
        <v/>
      </c>
      <c r="AN38" s="4">
        <f>IF(PlanLayout!AN38="","",PlanLayout!AN38&amp;CHAR(10)&amp;IFERROR(IF(INDEX(tblStellplatz[SAP],MATCH(PlanLayout!AN38,tblStellplatz[Stellplatz],0))="","leer",IF(LEFT(RIGHT(INDEX(tblStellplatz[SAP],MATCH(PlanLayout!AN38,tblStellplatz[Stellplatz],0)),4),1)="0",RIGHT(INDEX(tblStellplatz[SAP],MATCH(PlanLayout!AN38,tblStellplatz[Stellplatz],0)),5),RIGHT(INDEX(tblStellplatz[SAP],MATCH(PlanLayout!AN38,tblStellplatz[Stellplatz],0)),4))),"?"))</f>
        <v/>
      </c>
      <c r="AO38" s="4">
        <f>IF(PlanLayout!AO38="","",PlanLayout!AO38&amp;CHAR(10)&amp;IFERROR(IF(INDEX(tblStellplatz[SAP],MATCH(PlanLayout!AO38,tblStellplatz[Stellplatz],0))="","leer",IF(LEFT(RIGHT(INDEX(tblStellplatz[SAP],MATCH(PlanLayout!AO38,tblStellplatz[Stellplatz],0)),4),1)="0",RIGHT(INDEX(tblStellplatz[SAP],MATCH(PlanLayout!AO38,tblStellplatz[Stellplatz],0)),5),RIGHT(INDEX(tblStellplatz[SAP],MATCH(PlanLayout!AO38,tblStellplatz[Stellplatz],0)),4))),"?"))</f>
        <v/>
      </c>
    </row>
    <row r="39" ht="30" customHeight="1">
      <c r="B39" s="4">
        <f>IF(PlanLayout!B39="","",PlanLayout!B39&amp;CHAR(10)&amp;IFERROR(IF(INDEX(tblStellplatz[SAP],MATCH(PlanLayout!B39,tblStellplatz[Stellplatz],0))="","leer",IF(LEFT(RIGHT(INDEX(tblStellplatz[SAP],MATCH(PlanLayout!B39,tblStellplatz[Stellplatz],0)),4),1)="0",RIGHT(INDEX(tblStellplatz[SAP],MATCH(PlanLayout!B39,tblStellplatz[Stellplatz],0)),5),RIGHT(INDEX(tblStellplatz[SAP],MATCH(PlanLayout!B39,tblStellplatz[Stellplatz],0)),4))),"?"))</f>
        <v/>
      </c>
      <c r="C39" s="4">
        <f>IF(PlanLayout!C39="","",PlanLayout!C39&amp;CHAR(10)&amp;IFERROR(IF(INDEX(tblStellplatz[SAP],MATCH(PlanLayout!C39,tblStellplatz[Stellplatz],0))="","leer",IF(LEFT(RIGHT(INDEX(tblStellplatz[SAP],MATCH(PlanLayout!C39,tblStellplatz[Stellplatz],0)),4),1)="0",RIGHT(INDEX(tblStellplatz[SAP],MATCH(PlanLayout!C39,tblStellplatz[Stellplatz],0)),5),RIGHT(INDEX(tblStellplatz[SAP],MATCH(PlanLayout!C39,tblStellplatz[Stellplatz],0)),4))),"?"))</f>
        <v/>
      </c>
      <c r="D39" s="4">
        <f>IF(PlanLayout!D39="","",PlanLayout!D39&amp;CHAR(10)&amp;IFERROR(IF(INDEX(tblStellplatz[SAP],MATCH(PlanLayout!D39,tblStellplatz[Stellplatz],0))="","leer",IF(LEFT(RIGHT(INDEX(tblStellplatz[SAP],MATCH(PlanLayout!D39,tblStellplatz[Stellplatz],0)),4),1)="0",RIGHT(INDEX(tblStellplatz[SAP],MATCH(PlanLayout!D39,tblStellplatz[Stellplatz],0)),5),RIGHT(INDEX(tblStellplatz[SAP],MATCH(PlanLayout!D39,tblStellplatz[Stellplatz],0)),4))),"?"))</f>
        <v/>
      </c>
      <c r="E39" s="4">
        <f>IF(PlanLayout!E39="","",PlanLayout!E39&amp;CHAR(10)&amp;IFERROR(IF(INDEX(tblStellplatz[SAP],MATCH(PlanLayout!E39,tblStellplatz[Stellplatz],0))="","leer",IF(LEFT(RIGHT(INDEX(tblStellplatz[SAP],MATCH(PlanLayout!E39,tblStellplatz[Stellplatz],0)),4),1)="0",RIGHT(INDEX(tblStellplatz[SAP],MATCH(PlanLayout!E39,tblStellplatz[Stellplatz],0)),5),RIGHT(INDEX(tblStellplatz[SAP],MATCH(PlanLayout!E39,tblStellplatz[Stellplatz],0)),4))),"?"))</f>
        <v/>
      </c>
      <c r="F39" s="4">
        <f>IF(PlanLayout!F39="","",PlanLayout!F39&amp;CHAR(10)&amp;IFERROR(IF(INDEX(tblStellplatz[SAP],MATCH(PlanLayout!F39,tblStellplatz[Stellplatz],0))="","leer",IF(LEFT(RIGHT(INDEX(tblStellplatz[SAP],MATCH(PlanLayout!F39,tblStellplatz[Stellplatz],0)),4),1)="0",RIGHT(INDEX(tblStellplatz[SAP],MATCH(PlanLayout!F39,tblStellplatz[Stellplatz],0)),5),RIGHT(INDEX(tblStellplatz[SAP],MATCH(PlanLayout!F39,tblStellplatz[Stellplatz],0)),4))),"?"))</f>
        <v/>
      </c>
      <c r="G39" s="4">
        <f>IF(PlanLayout!G39="","",PlanLayout!G39&amp;CHAR(10)&amp;IFERROR(IF(INDEX(tblStellplatz[SAP],MATCH(PlanLayout!G39,tblStellplatz[Stellplatz],0))="","leer",IF(LEFT(RIGHT(INDEX(tblStellplatz[SAP],MATCH(PlanLayout!G39,tblStellplatz[Stellplatz],0)),4),1)="0",RIGHT(INDEX(tblStellplatz[SAP],MATCH(PlanLayout!G39,tblStellplatz[Stellplatz],0)),5),RIGHT(INDEX(tblStellplatz[SAP],MATCH(PlanLayout!G39,tblStellplatz[Stellplatz],0)),4))),"?"))</f>
        <v/>
      </c>
      <c r="H39" s="4">
        <f>IF(PlanLayout!H39="","",PlanLayout!H39&amp;CHAR(10)&amp;IFERROR(IF(INDEX(tblStellplatz[SAP],MATCH(PlanLayout!H39,tblStellplatz[Stellplatz],0))="","leer",IF(LEFT(RIGHT(INDEX(tblStellplatz[SAP],MATCH(PlanLayout!H39,tblStellplatz[Stellplatz],0)),4),1)="0",RIGHT(INDEX(tblStellplatz[SAP],MATCH(PlanLayout!H39,tblStellplatz[Stellplatz],0)),5),RIGHT(INDEX(tblStellplatz[SAP],MATCH(PlanLayout!H39,tblStellplatz[Stellplatz],0)),4))),"?"))</f>
        <v/>
      </c>
      <c r="I39" s="4">
        <f>IF(PlanLayout!I39="","",PlanLayout!I39&amp;CHAR(10)&amp;IFERROR(IF(INDEX(tblStellplatz[SAP],MATCH(PlanLayout!I39,tblStellplatz[Stellplatz],0))="","leer",IF(LEFT(RIGHT(INDEX(tblStellplatz[SAP],MATCH(PlanLayout!I39,tblStellplatz[Stellplatz],0)),4),1)="0",RIGHT(INDEX(tblStellplatz[SAP],MATCH(PlanLayout!I39,tblStellplatz[Stellplatz],0)),5),RIGHT(INDEX(tblStellplatz[SAP],MATCH(PlanLayout!I39,tblStellplatz[Stellplatz],0)),4))),"?"))</f>
        <v/>
      </c>
      <c r="J39" s="4">
        <f>IF(PlanLayout!J39="","",PlanLayout!J39&amp;CHAR(10)&amp;IFERROR(IF(INDEX(tblStellplatz[SAP],MATCH(PlanLayout!J39,tblStellplatz[Stellplatz],0))="","leer",IF(LEFT(RIGHT(INDEX(tblStellplatz[SAP],MATCH(PlanLayout!J39,tblStellplatz[Stellplatz],0)),4),1)="0",RIGHT(INDEX(tblStellplatz[SAP],MATCH(PlanLayout!J39,tblStellplatz[Stellplatz],0)),5),RIGHT(INDEX(tblStellplatz[SAP],MATCH(PlanLayout!J39,tblStellplatz[Stellplatz],0)),4))),"?"))</f>
        <v/>
      </c>
      <c r="K39" s="4">
        <f>IF(PlanLayout!K39="","",PlanLayout!K39&amp;CHAR(10)&amp;IFERROR(IF(INDEX(tblStellplatz[SAP],MATCH(PlanLayout!K39,tblStellplatz[Stellplatz],0))="","leer",IF(LEFT(RIGHT(INDEX(tblStellplatz[SAP],MATCH(PlanLayout!K39,tblStellplatz[Stellplatz],0)),4),1)="0",RIGHT(INDEX(tblStellplatz[SAP],MATCH(PlanLayout!K39,tblStellplatz[Stellplatz],0)),5),RIGHT(INDEX(tblStellplatz[SAP],MATCH(PlanLayout!K39,tblStellplatz[Stellplatz],0)),4))),"?"))</f>
        <v/>
      </c>
      <c r="L39" s="4">
        <f>IF(PlanLayout!L39="","",PlanLayout!L39&amp;CHAR(10)&amp;IFERROR(IF(INDEX(tblStellplatz[SAP],MATCH(PlanLayout!L39,tblStellplatz[Stellplatz],0))="","leer",IF(LEFT(RIGHT(INDEX(tblStellplatz[SAP],MATCH(PlanLayout!L39,tblStellplatz[Stellplatz],0)),4),1)="0",RIGHT(INDEX(tblStellplatz[SAP],MATCH(PlanLayout!L39,tblStellplatz[Stellplatz],0)),5),RIGHT(INDEX(tblStellplatz[SAP],MATCH(PlanLayout!L39,tblStellplatz[Stellplatz],0)),4))),"?"))</f>
        <v/>
      </c>
      <c r="M39" s="4">
        <f>IF(PlanLayout!M39="","",PlanLayout!M39&amp;CHAR(10)&amp;IFERROR(IF(INDEX(tblStellplatz[SAP],MATCH(PlanLayout!M39,tblStellplatz[Stellplatz],0))="","leer",IF(LEFT(RIGHT(INDEX(tblStellplatz[SAP],MATCH(PlanLayout!M39,tblStellplatz[Stellplatz],0)),4),1)="0",RIGHT(INDEX(tblStellplatz[SAP],MATCH(PlanLayout!M39,tblStellplatz[Stellplatz],0)),5),RIGHT(INDEX(tblStellplatz[SAP],MATCH(PlanLayout!M39,tblStellplatz[Stellplatz],0)),4))),"?"))</f>
        <v/>
      </c>
      <c r="N39" s="4">
        <f>IF(PlanLayout!N39="","",PlanLayout!N39&amp;CHAR(10)&amp;IFERROR(IF(INDEX(tblStellplatz[SAP],MATCH(PlanLayout!N39,tblStellplatz[Stellplatz],0))="","leer",IF(LEFT(RIGHT(INDEX(tblStellplatz[SAP],MATCH(PlanLayout!N39,tblStellplatz[Stellplatz],0)),4),1)="0",RIGHT(INDEX(tblStellplatz[SAP],MATCH(PlanLayout!N39,tblStellplatz[Stellplatz],0)),5),RIGHT(INDEX(tblStellplatz[SAP],MATCH(PlanLayout!N39,tblStellplatz[Stellplatz],0)),4))),"?"))</f>
        <v/>
      </c>
      <c r="O39" s="4">
        <f>IF(PlanLayout!O39="","",PlanLayout!O39&amp;CHAR(10)&amp;IFERROR(IF(INDEX(tblStellplatz[SAP],MATCH(PlanLayout!O39,tblStellplatz[Stellplatz],0))="","leer",IF(LEFT(RIGHT(INDEX(tblStellplatz[SAP],MATCH(PlanLayout!O39,tblStellplatz[Stellplatz],0)),4),1)="0",RIGHT(INDEX(tblStellplatz[SAP],MATCH(PlanLayout!O39,tblStellplatz[Stellplatz],0)),5),RIGHT(INDEX(tblStellplatz[SAP],MATCH(PlanLayout!O39,tblStellplatz[Stellplatz],0)),4))),"?"))</f>
        <v/>
      </c>
      <c r="P39" s="4">
        <f>IF(PlanLayout!P39="","",PlanLayout!P39&amp;CHAR(10)&amp;IFERROR(IF(INDEX(tblStellplatz[SAP],MATCH(PlanLayout!P39,tblStellplatz[Stellplatz],0))="","leer",IF(LEFT(RIGHT(INDEX(tblStellplatz[SAP],MATCH(PlanLayout!P39,tblStellplatz[Stellplatz],0)),4),1)="0",RIGHT(INDEX(tblStellplatz[SAP],MATCH(PlanLayout!P39,tblStellplatz[Stellplatz],0)),5),RIGHT(INDEX(tblStellplatz[SAP],MATCH(PlanLayout!P39,tblStellplatz[Stellplatz],0)),4))),"?"))</f>
        <v/>
      </c>
      <c r="Q39" s="4">
        <f>IF(PlanLayout!Q39="","",PlanLayout!Q39&amp;CHAR(10)&amp;IFERROR(IF(INDEX(tblStellplatz[SAP],MATCH(PlanLayout!Q39,tblStellplatz[Stellplatz],0))="","leer",IF(LEFT(RIGHT(INDEX(tblStellplatz[SAP],MATCH(PlanLayout!Q39,tblStellplatz[Stellplatz],0)),4),1)="0",RIGHT(INDEX(tblStellplatz[SAP],MATCH(PlanLayout!Q39,tblStellplatz[Stellplatz],0)),5),RIGHT(INDEX(tblStellplatz[SAP],MATCH(PlanLayout!Q39,tblStellplatz[Stellplatz],0)),4))),"?"))</f>
        <v/>
      </c>
      <c r="R39" s="4">
        <f>IF(PlanLayout!R39="","",PlanLayout!R39&amp;CHAR(10)&amp;IFERROR(IF(INDEX(tblStellplatz[SAP],MATCH(PlanLayout!R39,tblStellplatz[Stellplatz],0))="","leer",IF(LEFT(RIGHT(INDEX(tblStellplatz[SAP],MATCH(PlanLayout!R39,tblStellplatz[Stellplatz],0)),4),1)="0",RIGHT(INDEX(tblStellplatz[SAP],MATCH(PlanLayout!R39,tblStellplatz[Stellplatz],0)),5),RIGHT(INDEX(tblStellplatz[SAP],MATCH(PlanLayout!R39,tblStellplatz[Stellplatz],0)),4))),"?"))</f>
        <v/>
      </c>
      <c r="S39" s="4">
        <f>IF(PlanLayout!S39="","",PlanLayout!S39&amp;CHAR(10)&amp;IFERROR(IF(INDEX(tblStellplatz[SAP],MATCH(PlanLayout!S39,tblStellplatz[Stellplatz],0))="","leer",IF(LEFT(RIGHT(INDEX(tblStellplatz[SAP],MATCH(PlanLayout!S39,tblStellplatz[Stellplatz],0)),4),1)="0",RIGHT(INDEX(tblStellplatz[SAP],MATCH(PlanLayout!S39,tblStellplatz[Stellplatz],0)),5),RIGHT(INDEX(tblStellplatz[SAP],MATCH(PlanLayout!S39,tblStellplatz[Stellplatz],0)),4))),"?"))</f>
        <v/>
      </c>
      <c r="T39" s="4">
        <f>IF(PlanLayout!T39="","",PlanLayout!T39&amp;CHAR(10)&amp;IFERROR(IF(INDEX(tblStellplatz[SAP],MATCH(PlanLayout!T39,tblStellplatz[Stellplatz],0))="","leer",IF(LEFT(RIGHT(INDEX(tblStellplatz[SAP],MATCH(PlanLayout!T39,tblStellplatz[Stellplatz],0)),4),1)="0",RIGHT(INDEX(tblStellplatz[SAP],MATCH(PlanLayout!T39,tblStellplatz[Stellplatz],0)),5),RIGHT(INDEX(tblStellplatz[SAP],MATCH(PlanLayout!T39,tblStellplatz[Stellplatz],0)),4))),"?"))</f>
        <v/>
      </c>
      <c r="U39" s="4">
        <f>IF(PlanLayout!U39="","",PlanLayout!U39&amp;CHAR(10)&amp;IFERROR(IF(INDEX(tblStellplatz[SAP],MATCH(PlanLayout!U39,tblStellplatz[Stellplatz],0))="","leer",IF(LEFT(RIGHT(INDEX(tblStellplatz[SAP],MATCH(PlanLayout!U39,tblStellplatz[Stellplatz],0)),4),1)="0",RIGHT(INDEX(tblStellplatz[SAP],MATCH(PlanLayout!U39,tblStellplatz[Stellplatz],0)),5),RIGHT(INDEX(tblStellplatz[SAP],MATCH(PlanLayout!U39,tblStellplatz[Stellplatz],0)),4))),"?"))</f>
        <v/>
      </c>
      <c r="V39" s="4">
        <f>IF(PlanLayout!V39="","",PlanLayout!V39&amp;CHAR(10)&amp;IFERROR(IF(INDEX(tblStellplatz[SAP],MATCH(PlanLayout!V39,tblStellplatz[Stellplatz],0))="","leer",IF(LEFT(RIGHT(INDEX(tblStellplatz[SAP],MATCH(PlanLayout!V39,tblStellplatz[Stellplatz],0)),4),1)="0",RIGHT(INDEX(tblStellplatz[SAP],MATCH(PlanLayout!V39,tblStellplatz[Stellplatz],0)),5),RIGHT(INDEX(tblStellplatz[SAP],MATCH(PlanLayout!V39,tblStellplatz[Stellplatz],0)),4))),"?"))</f>
        <v/>
      </c>
      <c r="W39" s="4">
        <f>IF(PlanLayout!W39="","",PlanLayout!W39&amp;CHAR(10)&amp;IFERROR(IF(INDEX(tblStellplatz[SAP],MATCH(PlanLayout!W39,tblStellplatz[Stellplatz],0))="","leer",IF(LEFT(RIGHT(INDEX(tblStellplatz[SAP],MATCH(PlanLayout!W39,tblStellplatz[Stellplatz],0)),4),1)="0",RIGHT(INDEX(tblStellplatz[SAP],MATCH(PlanLayout!W39,tblStellplatz[Stellplatz],0)),5),RIGHT(INDEX(tblStellplatz[SAP],MATCH(PlanLayout!W39,tblStellplatz[Stellplatz],0)),4))),"?"))</f>
        <v/>
      </c>
      <c r="X39" s="4">
        <f>IF(PlanLayout!X39="","",PlanLayout!X39&amp;CHAR(10)&amp;IFERROR(IF(INDEX(tblStellplatz[SAP],MATCH(PlanLayout!X39,tblStellplatz[Stellplatz],0))="","leer",IF(LEFT(RIGHT(INDEX(tblStellplatz[SAP],MATCH(PlanLayout!X39,tblStellplatz[Stellplatz],0)),4),1)="0",RIGHT(INDEX(tblStellplatz[SAP],MATCH(PlanLayout!X39,tblStellplatz[Stellplatz],0)),5),RIGHT(INDEX(tblStellplatz[SAP],MATCH(PlanLayout!X39,tblStellplatz[Stellplatz],0)),4))),"?"))</f>
        <v/>
      </c>
      <c r="Y39" s="4">
        <f>IF(PlanLayout!Y39="","",PlanLayout!Y39&amp;CHAR(10)&amp;IFERROR(IF(INDEX(tblStellplatz[SAP],MATCH(PlanLayout!Y39,tblStellplatz[Stellplatz],0))="","leer",IF(LEFT(RIGHT(INDEX(tblStellplatz[SAP],MATCH(PlanLayout!Y39,tblStellplatz[Stellplatz],0)),4),1)="0",RIGHT(INDEX(tblStellplatz[SAP],MATCH(PlanLayout!Y39,tblStellplatz[Stellplatz],0)),5),RIGHT(INDEX(tblStellplatz[SAP],MATCH(PlanLayout!Y39,tblStellplatz[Stellplatz],0)),4))),"?"))</f>
        <v/>
      </c>
      <c r="Z39" s="4">
        <f>IF(PlanLayout!Z39="","",PlanLayout!Z39&amp;CHAR(10)&amp;IFERROR(IF(INDEX(tblStellplatz[SAP],MATCH(PlanLayout!Z39,tblStellplatz[Stellplatz],0))="","leer",IF(LEFT(RIGHT(INDEX(tblStellplatz[SAP],MATCH(PlanLayout!Z39,tblStellplatz[Stellplatz],0)),4),1)="0",RIGHT(INDEX(tblStellplatz[SAP],MATCH(PlanLayout!Z39,tblStellplatz[Stellplatz],0)),5),RIGHT(INDEX(tblStellplatz[SAP],MATCH(PlanLayout!Z39,tblStellplatz[Stellplatz],0)),4))),"?"))</f>
        <v/>
      </c>
      <c r="AA39" s="4">
        <f>IF(PlanLayout!AA39="","",PlanLayout!AA39&amp;CHAR(10)&amp;IFERROR(IF(INDEX(tblStellplatz[SAP],MATCH(PlanLayout!AA39,tblStellplatz[Stellplatz],0))="","leer",IF(LEFT(RIGHT(INDEX(tblStellplatz[SAP],MATCH(PlanLayout!AA39,tblStellplatz[Stellplatz],0)),4),1)="0",RIGHT(INDEX(tblStellplatz[SAP],MATCH(PlanLayout!AA39,tblStellplatz[Stellplatz],0)),5),RIGHT(INDEX(tblStellplatz[SAP],MATCH(PlanLayout!AA39,tblStellplatz[Stellplatz],0)),4))),"?"))</f>
        <v/>
      </c>
      <c r="AB39" s="4">
        <f>IF(PlanLayout!AB39="","",PlanLayout!AB39&amp;CHAR(10)&amp;IFERROR(IF(INDEX(tblStellplatz[SAP],MATCH(PlanLayout!AB39,tblStellplatz[Stellplatz],0))="","leer",IF(LEFT(RIGHT(INDEX(tblStellplatz[SAP],MATCH(PlanLayout!AB39,tblStellplatz[Stellplatz],0)),4),1)="0",RIGHT(INDEX(tblStellplatz[SAP],MATCH(PlanLayout!AB39,tblStellplatz[Stellplatz],0)),5),RIGHT(INDEX(tblStellplatz[SAP],MATCH(PlanLayout!AB39,tblStellplatz[Stellplatz],0)),4))),"?"))</f>
        <v/>
      </c>
      <c r="AC39" s="4">
        <f>IF(PlanLayout!AC39="","",PlanLayout!AC39&amp;CHAR(10)&amp;IFERROR(IF(INDEX(tblStellplatz[SAP],MATCH(PlanLayout!AC39,tblStellplatz[Stellplatz],0))="","leer",IF(LEFT(RIGHT(INDEX(tblStellplatz[SAP],MATCH(PlanLayout!AC39,tblStellplatz[Stellplatz],0)),4),1)="0",RIGHT(INDEX(tblStellplatz[SAP],MATCH(PlanLayout!AC39,tblStellplatz[Stellplatz],0)),5),RIGHT(INDEX(tblStellplatz[SAP],MATCH(PlanLayout!AC39,tblStellplatz[Stellplatz],0)),4))),"?"))</f>
        <v/>
      </c>
      <c r="AD39" s="4">
        <f>IF(PlanLayout!AD39="","",PlanLayout!AD39&amp;CHAR(10)&amp;IFERROR(IF(INDEX(tblStellplatz[SAP],MATCH(PlanLayout!AD39,tblStellplatz[Stellplatz],0))="","leer",IF(LEFT(RIGHT(INDEX(tblStellplatz[SAP],MATCH(PlanLayout!AD39,tblStellplatz[Stellplatz],0)),4),1)="0",RIGHT(INDEX(tblStellplatz[SAP],MATCH(PlanLayout!AD39,tblStellplatz[Stellplatz],0)),5),RIGHT(INDEX(tblStellplatz[SAP],MATCH(PlanLayout!AD39,tblStellplatz[Stellplatz],0)),4))),"?"))</f>
        <v/>
      </c>
      <c r="AE39" s="4">
        <f>IF(PlanLayout!AE39="","",PlanLayout!AE39&amp;CHAR(10)&amp;IFERROR(IF(INDEX(tblStellplatz[SAP],MATCH(PlanLayout!AE39,tblStellplatz[Stellplatz],0))="","leer",IF(LEFT(RIGHT(INDEX(tblStellplatz[SAP],MATCH(PlanLayout!AE39,tblStellplatz[Stellplatz],0)),4),1)="0",RIGHT(INDEX(tblStellplatz[SAP],MATCH(PlanLayout!AE39,tblStellplatz[Stellplatz],0)),5),RIGHT(INDEX(tblStellplatz[SAP],MATCH(PlanLayout!AE39,tblStellplatz[Stellplatz],0)),4))),"?"))</f>
        <v/>
      </c>
      <c r="AF39" s="4">
        <f>IF(PlanLayout!AF39="","",PlanLayout!AF39&amp;CHAR(10)&amp;IFERROR(IF(INDEX(tblStellplatz[SAP],MATCH(PlanLayout!AF39,tblStellplatz[Stellplatz],0))="","leer",IF(LEFT(RIGHT(INDEX(tblStellplatz[SAP],MATCH(PlanLayout!AF39,tblStellplatz[Stellplatz],0)),4),1)="0",RIGHT(INDEX(tblStellplatz[SAP],MATCH(PlanLayout!AF39,tblStellplatz[Stellplatz],0)),5),RIGHT(INDEX(tblStellplatz[SAP],MATCH(PlanLayout!AF39,tblStellplatz[Stellplatz],0)),4))),"?"))</f>
        <v/>
      </c>
      <c r="AG39" s="4">
        <f>IF(PlanLayout!AG39="","",PlanLayout!AG39&amp;CHAR(10)&amp;IFERROR(IF(INDEX(tblStellplatz[SAP],MATCH(PlanLayout!AG39,tblStellplatz[Stellplatz],0))="","leer",IF(LEFT(RIGHT(INDEX(tblStellplatz[SAP],MATCH(PlanLayout!AG39,tblStellplatz[Stellplatz],0)),4),1)="0",RIGHT(INDEX(tblStellplatz[SAP],MATCH(PlanLayout!AG39,tblStellplatz[Stellplatz],0)),5),RIGHT(INDEX(tblStellplatz[SAP],MATCH(PlanLayout!AG39,tblStellplatz[Stellplatz],0)),4))),"?"))</f>
        <v/>
      </c>
      <c r="AH39" s="4">
        <f>IF(PlanLayout!AH39="","",PlanLayout!AH39&amp;CHAR(10)&amp;IFERROR(IF(INDEX(tblStellplatz[SAP],MATCH(PlanLayout!AH39,tblStellplatz[Stellplatz],0))="","leer",IF(LEFT(RIGHT(INDEX(tblStellplatz[SAP],MATCH(PlanLayout!AH39,tblStellplatz[Stellplatz],0)),4),1)="0",RIGHT(INDEX(tblStellplatz[SAP],MATCH(PlanLayout!AH39,tblStellplatz[Stellplatz],0)),5),RIGHT(INDEX(tblStellplatz[SAP],MATCH(PlanLayout!AH39,tblStellplatz[Stellplatz],0)),4))),"?"))</f>
        <v/>
      </c>
      <c r="AI39" s="4">
        <f>IF(PlanLayout!AI39="","",PlanLayout!AI39&amp;CHAR(10)&amp;IFERROR(IF(INDEX(tblStellplatz[SAP],MATCH(PlanLayout!AI39,tblStellplatz[Stellplatz],0))="","leer",IF(LEFT(RIGHT(INDEX(tblStellplatz[SAP],MATCH(PlanLayout!AI39,tblStellplatz[Stellplatz],0)),4),1)="0",RIGHT(INDEX(tblStellplatz[SAP],MATCH(PlanLayout!AI39,tblStellplatz[Stellplatz],0)),5),RIGHT(INDEX(tblStellplatz[SAP],MATCH(PlanLayout!AI39,tblStellplatz[Stellplatz],0)),4))),"?"))</f>
        <v/>
      </c>
      <c r="AJ39" s="4">
        <f>IF(PlanLayout!AJ39="","",PlanLayout!AJ39&amp;CHAR(10)&amp;IFERROR(IF(INDEX(tblStellplatz[SAP],MATCH(PlanLayout!AJ39,tblStellplatz[Stellplatz],0))="","leer",IF(LEFT(RIGHT(INDEX(tblStellplatz[SAP],MATCH(PlanLayout!AJ39,tblStellplatz[Stellplatz],0)),4),1)="0",RIGHT(INDEX(tblStellplatz[SAP],MATCH(PlanLayout!AJ39,tblStellplatz[Stellplatz],0)),5),RIGHT(INDEX(tblStellplatz[SAP],MATCH(PlanLayout!AJ39,tblStellplatz[Stellplatz],0)),4))),"?"))</f>
        <v/>
      </c>
      <c r="AK39" s="4">
        <f>IF(PlanLayout!AK39="","",PlanLayout!AK39&amp;CHAR(10)&amp;IFERROR(IF(INDEX(tblStellplatz[SAP],MATCH(PlanLayout!AK39,tblStellplatz[Stellplatz],0))="","leer",IF(LEFT(RIGHT(INDEX(tblStellplatz[SAP],MATCH(PlanLayout!AK39,tblStellplatz[Stellplatz],0)),4),1)="0",RIGHT(INDEX(tblStellplatz[SAP],MATCH(PlanLayout!AK39,tblStellplatz[Stellplatz],0)),5),RIGHT(INDEX(tblStellplatz[SAP],MATCH(PlanLayout!AK39,tblStellplatz[Stellplatz],0)),4))),"?"))</f>
        <v/>
      </c>
      <c r="AL39" s="4">
        <f>IF(PlanLayout!AL39="","",PlanLayout!AL39&amp;CHAR(10)&amp;IFERROR(IF(INDEX(tblStellplatz[SAP],MATCH(PlanLayout!AL39,tblStellplatz[Stellplatz],0))="","leer",IF(LEFT(RIGHT(INDEX(tblStellplatz[SAP],MATCH(PlanLayout!AL39,tblStellplatz[Stellplatz],0)),4),1)="0",RIGHT(INDEX(tblStellplatz[SAP],MATCH(PlanLayout!AL39,tblStellplatz[Stellplatz],0)),5),RIGHT(INDEX(tblStellplatz[SAP],MATCH(PlanLayout!AL39,tblStellplatz[Stellplatz],0)),4))),"?"))</f>
        <v/>
      </c>
      <c r="AM39" s="4">
        <f>IF(PlanLayout!AM39="","",PlanLayout!AM39&amp;CHAR(10)&amp;IFERROR(IF(INDEX(tblStellplatz[SAP],MATCH(PlanLayout!AM39,tblStellplatz[Stellplatz],0))="","leer",IF(LEFT(RIGHT(INDEX(tblStellplatz[SAP],MATCH(PlanLayout!AM39,tblStellplatz[Stellplatz],0)),4),1)="0",RIGHT(INDEX(tblStellplatz[SAP],MATCH(PlanLayout!AM39,tblStellplatz[Stellplatz],0)),5),RIGHT(INDEX(tblStellplatz[SAP],MATCH(PlanLayout!AM39,tblStellplatz[Stellplatz],0)),4))),"?"))</f>
        <v/>
      </c>
      <c r="AN39" s="4">
        <f>IF(PlanLayout!AN39="","",PlanLayout!AN39&amp;CHAR(10)&amp;IFERROR(IF(INDEX(tblStellplatz[SAP],MATCH(PlanLayout!AN39,tblStellplatz[Stellplatz],0))="","leer",IF(LEFT(RIGHT(INDEX(tblStellplatz[SAP],MATCH(PlanLayout!AN39,tblStellplatz[Stellplatz],0)),4),1)="0",RIGHT(INDEX(tblStellplatz[SAP],MATCH(PlanLayout!AN39,tblStellplatz[Stellplatz],0)),5),RIGHT(INDEX(tblStellplatz[SAP],MATCH(PlanLayout!AN39,tblStellplatz[Stellplatz],0)),4))),"?"))</f>
        <v/>
      </c>
      <c r="AO39" s="4">
        <f>IF(PlanLayout!AO39="","",PlanLayout!AO39&amp;CHAR(10)&amp;IFERROR(IF(INDEX(tblStellplatz[SAP],MATCH(PlanLayout!AO39,tblStellplatz[Stellplatz],0))="","leer",IF(LEFT(RIGHT(INDEX(tblStellplatz[SAP],MATCH(PlanLayout!AO39,tblStellplatz[Stellplatz],0)),4),1)="0",RIGHT(INDEX(tblStellplatz[SAP],MATCH(PlanLayout!AO39,tblStellplatz[Stellplatz],0)),5),RIGHT(INDEX(tblStellplatz[SAP],MATCH(PlanLayout!AO39,tblStellplatz[Stellplatz],0)),4))),"?"))</f>
        <v/>
      </c>
    </row>
    <row r="40" ht="30" customHeight="1">
      <c r="B40" s="4">
        <f>IF(PlanLayout!B40="","",PlanLayout!B40&amp;CHAR(10)&amp;IFERROR(IF(INDEX(tblStellplatz[SAP],MATCH(PlanLayout!B40,tblStellplatz[Stellplatz],0))="","leer",IF(LEFT(RIGHT(INDEX(tblStellplatz[SAP],MATCH(PlanLayout!B40,tblStellplatz[Stellplatz],0)),4),1)="0",RIGHT(INDEX(tblStellplatz[SAP],MATCH(PlanLayout!B40,tblStellplatz[Stellplatz],0)),5),RIGHT(INDEX(tblStellplatz[SAP],MATCH(PlanLayout!B40,tblStellplatz[Stellplatz],0)),4))),"?"))</f>
        <v/>
      </c>
      <c r="C40" s="4">
        <f>IF(PlanLayout!C40="","",PlanLayout!C40&amp;CHAR(10)&amp;IFERROR(IF(INDEX(tblStellplatz[SAP],MATCH(PlanLayout!C40,tblStellplatz[Stellplatz],0))="","leer",IF(LEFT(RIGHT(INDEX(tblStellplatz[SAP],MATCH(PlanLayout!C40,tblStellplatz[Stellplatz],0)),4),1)="0",RIGHT(INDEX(tblStellplatz[SAP],MATCH(PlanLayout!C40,tblStellplatz[Stellplatz],0)),5),RIGHT(INDEX(tblStellplatz[SAP],MATCH(PlanLayout!C40,tblStellplatz[Stellplatz],0)),4))),"?"))</f>
        <v/>
      </c>
      <c r="D40" s="4">
        <f>IF(PlanLayout!D40="","",PlanLayout!D40&amp;CHAR(10)&amp;IFERROR(IF(INDEX(tblStellplatz[SAP],MATCH(PlanLayout!D40,tblStellplatz[Stellplatz],0))="","leer",IF(LEFT(RIGHT(INDEX(tblStellplatz[SAP],MATCH(PlanLayout!D40,tblStellplatz[Stellplatz],0)),4),1)="0",RIGHT(INDEX(tblStellplatz[SAP],MATCH(PlanLayout!D40,tblStellplatz[Stellplatz],0)),5),RIGHT(INDEX(tblStellplatz[SAP],MATCH(PlanLayout!D40,tblStellplatz[Stellplatz],0)),4))),"?"))</f>
        <v/>
      </c>
      <c r="E40" s="4">
        <f>IF(PlanLayout!E40="","",PlanLayout!E40&amp;CHAR(10)&amp;IFERROR(IF(INDEX(tblStellplatz[SAP],MATCH(PlanLayout!E40,tblStellplatz[Stellplatz],0))="","leer",IF(LEFT(RIGHT(INDEX(tblStellplatz[SAP],MATCH(PlanLayout!E40,tblStellplatz[Stellplatz],0)),4),1)="0",RIGHT(INDEX(tblStellplatz[SAP],MATCH(PlanLayout!E40,tblStellplatz[Stellplatz],0)),5),RIGHT(INDEX(tblStellplatz[SAP],MATCH(PlanLayout!E40,tblStellplatz[Stellplatz],0)),4))),"?"))</f>
        <v/>
      </c>
      <c r="F40" s="4">
        <f>IF(PlanLayout!F40="","",PlanLayout!F40&amp;CHAR(10)&amp;IFERROR(IF(INDEX(tblStellplatz[SAP],MATCH(PlanLayout!F40,tblStellplatz[Stellplatz],0))="","leer",IF(LEFT(RIGHT(INDEX(tblStellplatz[SAP],MATCH(PlanLayout!F40,tblStellplatz[Stellplatz],0)),4),1)="0",RIGHT(INDEX(tblStellplatz[SAP],MATCH(PlanLayout!F40,tblStellplatz[Stellplatz],0)),5),RIGHT(INDEX(tblStellplatz[SAP],MATCH(PlanLayout!F40,tblStellplatz[Stellplatz],0)),4))),"?"))</f>
        <v/>
      </c>
      <c r="G40" s="4">
        <f>IF(PlanLayout!G40="","",PlanLayout!G40&amp;CHAR(10)&amp;IFERROR(IF(INDEX(tblStellplatz[SAP],MATCH(PlanLayout!G40,tblStellplatz[Stellplatz],0))="","leer",IF(LEFT(RIGHT(INDEX(tblStellplatz[SAP],MATCH(PlanLayout!G40,tblStellplatz[Stellplatz],0)),4),1)="0",RIGHT(INDEX(tblStellplatz[SAP],MATCH(PlanLayout!G40,tblStellplatz[Stellplatz],0)),5),RIGHT(INDEX(tblStellplatz[SAP],MATCH(PlanLayout!G40,tblStellplatz[Stellplatz],0)),4))),"?"))</f>
        <v/>
      </c>
      <c r="H40" s="4">
        <f>IF(PlanLayout!H40="","",PlanLayout!H40&amp;CHAR(10)&amp;IFERROR(IF(INDEX(tblStellplatz[SAP],MATCH(PlanLayout!H40,tblStellplatz[Stellplatz],0))="","leer",IF(LEFT(RIGHT(INDEX(tblStellplatz[SAP],MATCH(PlanLayout!H40,tblStellplatz[Stellplatz],0)),4),1)="0",RIGHT(INDEX(tblStellplatz[SAP],MATCH(PlanLayout!H40,tblStellplatz[Stellplatz],0)),5),RIGHT(INDEX(tblStellplatz[SAP],MATCH(PlanLayout!H40,tblStellplatz[Stellplatz],0)),4))),"?"))</f>
        <v/>
      </c>
      <c r="I40" s="4">
        <f>IF(PlanLayout!I40="","",PlanLayout!I40&amp;CHAR(10)&amp;IFERROR(IF(INDEX(tblStellplatz[SAP],MATCH(PlanLayout!I40,tblStellplatz[Stellplatz],0))="","leer",IF(LEFT(RIGHT(INDEX(tblStellplatz[SAP],MATCH(PlanLayout!I40,tblStellplatz[Stellplatz],0)),4),1)="0",RIGHT(INDEX(tblStellplatz[SAP],MATCH(PlanLayout!I40,tblStellplatz[Stellplatz],0)),5),RIGHT(INDEX(tblStellplatz[SAP],MATCH(PlanLayout!I40,tblStellplatz[Stellplatz],0)),4))),"?"))</f>
        <v/>
      </c>
      <c r="J40" s="4">
        <f>IF(PlanLayout!J40="","",PlanLayout!J40&amp;CHAR(10)&amp;IFERROR(IF(INDEX(tblStellplatz[SAP],MATCH(PlanLayout!J40,tblStellplatz[Stellplatz],0))="","leer",IF(LEFT(RIGHT(INDEX(tblStellplatz[SAP],MATCH(PlanLayout!J40,tblStellplatz[Stellplatz],0)),4),1)="0",RIGHT(INDEX(tblStellplatz[SAP],MATCH(PlanLayout!J40,tblStellplatz[Stellplatz],0)),5),RIGHT(INDEX(tblStellplatz[SAP],MATCH(PlanLayout!J40,tblStellplatz[Stellplatz],0)),4))),"?"))</f>
        <v/>
      </c>
      <c r="K40" s="4">
        <f>IF(PlanLayout!K40="","",PlanLayout!K40&amp;CHAR(10)&amp;IFERROR(IF(INDEX(tblStellplatz[SAP],MATCH(PlanLayout!K40,tblStellplatz[Stellplatz],0))="","leer",IF(LEFT(RIGHT(INDEX(tblStellplatz[SAP],MATCH(PlanLayout!K40,tblStellplatz[Stellplatz],0)),4),1)="0",RIGHT(INDEX(tblStellplatz[SAP],MATCH(PlanLayout!K40,tblStellplatz[Stellplatz],0)),5),RIGHT(INDEX(tblStellplatz[SAP],MATCH(PlanLayout!K40,tblStellplatz[Stellplatz],0)),4))),"?"))</f>
        <v/>
      </c>
      <c r="L40" s="4">
        <f>IF(PlanLayout!L40="","",PlanLayout!L40&amp;CHAR(10)&amp;IFERROR(IF(INDEX(tblStellplatz[SAP],MATCH(PlanLayout!L40,tblStellplatz[Stellplatz],0))="","leer",IF(LEFT(RIGHT(INDEX(tblStellplatz[SAP],MATCH(PlanLayout!L40,tblStellplatz[Stellplatz],0)),4),1)="0",RIGHT(INDEX(tblStellplatz[SAP],MATCH(PlanLayout!L40,tblStellplatz[Stellplatz],0)),5),RIGHT(INDEX(tblStellplatz[SAP],MATCH(PlanLayout!L40,tblStellplatz[Stellplatz],0)),4))),"?"))</f>
        <v/>
      </c>
      <c r="M40" s="4">
        <f>IF(PlanLayout!M40="","",PlanLayout!M40&amp;CHAR(10)&amp;IFERROR(IF(INDEX(tblStellplatz[SAP],MATCH(PlanLayout!M40,tblStellplatz[Stellplatz],0))="","leer",IF(LEFT(RIGHT(INDEX(tblStellplatz[SAP],MATCH(PlanLayout!M40,tblStellplatz[Stellplatz],0)),4),1)="0",RIGHT(INDEX(tblStellplatz[SAP],MATCH(PlanLayout!M40,tblStellplatz[Stellplatz],0)),5),RIGHT(INDEX(tblStellplatz[SAP],MATCH(PlanLayout!M40,tblStellplatz[Stellplatz],0)),4))),"?"))</f>
        <v/>
      </c>
      <c r="N40" s="4">
        <f>IF(PlanLayout!N40="","",PlanLayout!N40&amp;CHAR(10)&amp;IFERROR(IF(INDEX(tblStellplatz[SAP],MATCH(PlanLayout!N40,tblStellplatz[Stellplatz],0))="","leer",IF(LEFT(RIGHT(INDEX(tblStellplatz[SAP],MATCH(PlanLayout!N40,tblStellplatz[Stellplatz],0)),4),1)="0",RIGHT(INDEX(tblStellplatz[SAP],MATCH(PlanLayout!N40,tblStellplatz[Stellplatz],0)),5),RIGHT(INDEX(tblStellplatz[SAP],MATCH(PlanLayout!N40,tblStellplatz[Stellplatz],0)),4))),"?"))</f>
        <v/>
      </c>
      <c r="O40" s="4">
        <f>IF(PlanLayout!O40="","",PlanLayout!O40&amp;CHAR(10)&amp;IFERROR(IF(INDEX(tblStellplatz[SAP],MATCH(PlanLayout!O40,tblStellplatz[Stellplatz],0))="","leer",IF(LEFT(RIGHT(INDEX(tblStellplatz[SAP],MATCH(PlanLayout!O40,tblStellplatz[Stellplatz],0)),4),1)="0",RIGHT(INDEX(tblStellplatz[SAP],MATCH(PlanLayout!O40,tblStellplatz[Stellplatz],0)),5),RIGHT(INDEX(tblStellplatz[SAP],MATCH(PlanLayout!O40,tblStellplatz[Stellplatz],0)),4))),"?"))</f>
        <v/>
      </c>
      <c r="P40" s="4">
        <f>IF(PlanLayout!P40="","",PlanLayout!P40&amp;CHAR(10)&amp;IFERROR(IF(INDEX(tblStellplatz[SAP],MATCH(PlanLayout!P40,tblStellplatz[Stellplatz],0))="","leer",IF(LEFT(RIGHT(INDEX(tblStellplatz[SAP],MATCH(PlanLayout!P40,tblStellplatz[Stellplatz],0)),4),1)="0",RIGHT(INDEX(tblStellplatz[SAP],MATCH(PlanLayout!P40,tblStellplatz[Stellplatz],0)),5),RIGHT(INDEX(tblStellplatz[SAP],MATCH(PlanLayout!P40,tblStellplatz[Stellplatz],0)),4))),"?"))</f>
        <v/>
      </c>
      <c r="Q40" s="4">
        <f>IF(PlanLayout!Q40="","",PlanLayout!Q40&amp;CHAR(10)&amp;IFERROR(IF(INDEX(tblStellplatz[SAP],MATCH(PlanLayout!Q40,tblStellplatz[Stellplatz],0))="","leer",IF(LEFT(RIGHT(INDEX(tblStellplatz[SAP],MATCH(PlanLayout!Q40,tblStellplatz[Stellplatz],0)),4),1)="0",RIGHT(INDEX(tblStellplatz[SAP],MATCH(PlanLayout!Q40,tblStellplatz[Stellplatz],0)),5),RIGHT(INDEX(tblStellplatz[SAP],MATCH(PlanLayout!Q40,tblStellplatz[Stellplatz],0)),4))),"?"))</f>
        <v/>
      </c>
      <c r="R40" s="4">
        <f>IF(PlanLayout!R40="","",PlanLayout!R40&amp;CHAR(10)&amp;IFERROR(IF(INDEX(tblStellplatz[SAP],MATCH(PlanLayout!R40,tblStellplatz[Stellplatz],0))="","leer",IF(LEFT(RIGHT(INDEX(tblStellplatz[SAP],MATCH(PlanLayout!R40,tblStellplatz[Stellplatz],0)),4),1)="0",RIGHT(INDEX(tblStellplatz[SAP],MATCH(PlanLayout!R40,tblStellplatz[Stellplatz],0)),5),RIGHT(INDEX(tblStellplatz[SAP],MATCH(PlanLayout!R40,tblStellplatz[Stellplatz],0)),4))),"?"))</f>
        <v/>
      </c>
      <c r="S40" s="4">
        <f>IF(PlanLayout!S40="","",PlanLayout!S40&amp;CHAR(10)&amp;IFERROR(IF(INDEX(tblStellplatz[SAP],MATCH(PlanLayout!S40,tblStellplatz[Stellplatz],0))="","leer",IF(LEFT(RIGHT(INDEX(tblStellplatz[SAP],MATCH(PlanLayout!S40,tblStellplatz[Stellplatz],0)),4),1)="0",RIGHT(INDEX(tblStellplatz[SAP],MATCH(PlanLayout!S40,tblStellplatz[Stellplatz],0)),5),RIGHT(INDEX(tblStellplatz[SAP],MATCH(PlanLayout!S40,tblStellplatz[Stellplatz],0)),4))),"?"))</f>
        <v/>
      </c>
      <c r="T40" s="4">
        <f>IF(PlanLayout!T40="","",PlanLayout!T40&amp;CHAR(10)&amp;IFERROR(IF(INDEX(tblStellplatz[SAP],MATCH(PlanLayout!T40,tblStellplatz[Stellplatz],0))="","leer",IF(LEFT(RIGHT(INDEX(tblStellplatz[SAP],MATCH(PlanLayout!T40,tblStellplatz[Stellplatz],0)),4),1)="0",RIGHT(INDEX(tblStellplatz[SAP],MATCH(PlanLayout!T40,tblStellplatz[Stellplatz],0)),5),RIGHT(INDEX(tblStellplatz[SAP],MATCH(PlanLayout!T40,tblStellplatz[Stellplatz],0)),4))),"?"))</f>
        <v/>
      </c>
      <c r="U40" s="4">
        <f>IF(PlanLayout!U40="","",PlanLayout!U40&amp;CHAR(10)&amp;IFERROR(IF(INDEX(tblStellplatz[SAP],MATCH(PlanLayout!U40,tblStellplatz[Stellplatz],0))="","leer",IF(LEFT(RIGHT(INDEX(tblStellplatz[SAP],MATCH(PlanLayout!U40,tblStellplatz[Stellplatz],0)),4),1)="0",RIGHT(INDEX(tblStellplatz[SAP],MATCH(PlanLayout!U40,tblStellplatz[Stellplatz],0)),5),RIGHT(INDEX(tblStellplatz[SAP],MATCH(PlanLayout!U40,tblStellplatz[Stellplatz],0)),4))),"?"))</f>
        <v/>
      </c>
      <c r="V40" s="4">
        <f>IF(PlanLayout!V40="","",PlanLayout!V40&amp;CHAR(10)&amp;IFERROR(IF(INDEX(tblStellplatz[SAP],MATCH(PlanLayout!V40,tblStellplatz[Stellplatz],0))="","leer",IF(LEFT(RIGHT(INDEX(tblStellplatz[SAP],MATCH(PlanLayout!V40,tblStellplatz[Stellplatz],0)),4),1)="0",RIGHT(INDEX(tblStellplatz[SAP],MATCH(PlanLayout!V40,tblStellplatz[Stellplatz],0)),5),RIGHT(INDEX(tblStellplatz[SAP],MATCH(PlanLayout!V40,tblStellplatz[Stellplatz],0)),4))),"?"))</f>
        <v/>
      </c>
      <c r="W40" s="4">
        <f>IF(PlanLayout!W40="","",PlanLayout!W40&amp;CHAR(10)&amp;IFERROR(IF(INDEX(tblStellplatz[SAP],MATCH(PlanLayout!W40,tblStellplatz[Stellplatz],0))="","leer",IF(LEFT(RIGHT(INDEX(tblStellplatz[SAP],MATCH(PlanLayout!W40,tblStellplatz[Stellplatz],0)),4),1)="0",RIGHT(INDEX(tblStellplatz[SAP],MATCH(PlanLayout!W40,tblStellplatz[Stellplatz],0)),5),RIGHT(INDEX(tblStellplatz[SAP],MATCH(PlanLayout!W40,tblStellplatz[Stellplatz],0)),4))),"?"))</f>
        <v/>
      </c>
      <c r="X40" s="4">
        <f>IF(PlanLayout!X40="","",PlanLayout!X40&amp;CHAR(10)&amp;IFERROR(IF(INDEX(tblStellplatz[SAP],MATCH(PlanLayout!X40,tblStellplatz[Stellplatz],0))="","leer",IF(LEFT(RIGHT(INDEX(tblStellplatz[SAP],MATCH(PlanLayout!X40,tblStellplatz[Stellplatz],0)),4),1)="0",RIGHT(INDEX(tblStellplatz[SAP],MATCH(PlanLayout!X40,tblStellplatz[Stellplatz],0)),5),RIGHT(INDEX(tblStellplatz[SAP],MATCH(PlanLayout!X40,tblStellplatz[Stellplatz],0)),4))),"?"))</f>
        <v/>
      </c>
      <c r="Y40" s="4">
        <f>IF(PlanLayout!Y40="","",PlanLayout!Y40&amp;CHAR(10)&amp;IFERROR(IF(INDEX(tblStellplatz[SAP],MATCH(PlanLayout!Y40,tblStellplatz[Stellplatz],0))="","leer",IF(LEFT(RIGHT(INDEX(tblStellplatz[SAP],MATCH(PlanLayout!Y40,tblStellplatz[Stellplatz],0)),4),1)="0",RIGHT(INDEX(tblStellplatz[SAP],MATCH(PlanLayout!Y40,tblStellplatz[Stellplatz],0)),5),RIGHT(INDEX(tblStellplatz[SAP],MATCH(PlanLayout!Y40,tblStellplatz[Stellplatz],0)),4))),"?"))</f>
        <v/>
      </c>
      <c r="Z40" s="4">
        <f>IF(PlanLayout!Z40="","",PlanLayout!Z40&amp;CHAR(10)&amp;IFERROR(IF(INDEX(tblStellplatz[SAP],MATCH(PlanLayout!Z40,tblStellplatz[Stellplatz],0))="","leer",IF(LEFT(RIGHT(INDEX(tblStellplatz[SAP],MATCH(PlanLayout!Z40,tblStellplatz[Stellplatz],0)),4),1)="0",RIGHT(INDEX(tblStellplatz[SAP],MATCH(PlanLayout!Z40,tblStellplatz[Stellplatz],0)),5),RIGHT(INDEX(tblStellplatz[SAP],MATCH(PlanLayout!Z40,tblStellplatz[Stellplatz],0)),4))),"?"))</f>
        <v/>
      </c>
      <c r="AA40" s="4">
        <f>IF(PlanLayout!AA40="","",PlanLayout!AA40&amp;CHAR(10)&amp;IFERROR(IF(INDEX(tblStellplatz[SAP],MATCH(PlanLayout!AA40,tblStellplatz[Stellplatz],0))="","leer",IF(LEFT(RIGHT(INDEX(tblStellplatz[SAP],MATCH(PlanLayout!AA40,tblStellplatz[Stellplatz],0)),4),1)="0",RIGHT(INDEX(tblStellplatz[SAP],MATCH(PlanLayout!AA40,tblStellplatz[Stellplatz],0)),5),RIGHT(INDEX(tblStellplatz[SAP],MATCH(PlanLayout!AA40,tblStellplatz[Stellplatz],0)),4))),"?"))</f>
        <v/>
      </c>
      <c r="AB40" s="4">
        <f>IF(PlanLayout!AB40="","",PlanLayout!AB40&amp;CHAR(10)&amp;IFERROR(IF(INDEX(tblStellplatz[SAP],MATCH(PlanLayout!AB40,tblStellplatz[Stellplatz],0))="","leer",IF(LEFT(RIGHT(INDEX(tblStellplatz[SAP],MATCH(PlanLayout!AB40,tblStellplatz[Stellplatz],0)),4),1)="0",RIGHT(INDEX(tblStellplatz[SAP],MATCH(PlanLayout!AB40,tblStellplatz[Stellplatz],0)),5),RIGHT(INDEX(tblStellplatz[SAP],MATCH(PlanLayout!AB40,tblStellplatz[Stellplatz],0)),4))),"?"))</f>
        <v/>
      </c>
      <c r="AC40" s="4">
        <f>IF(PlanLayout!AC40="","",PlanLayout!AC40&amp;CHAR(10)&amp;IFERROR(IF(INDEX(tblStellplatz[SAP],MATCH(PlanLayout!AC40,tblStellplatz[Stellplatz],0))="","leer",IF(LEFT(RIGHT(INDEX(tblStellplatz[SAP],MATCH(PlanLayout!AC40,tblStellplatz[Stellplatz],0)),4),1)="0",RIGHT(INDEX(tblStellplatz[SAP],MATCH(PlanLayout!AC40,tblStellplatz[Stellplatz],0)),5),RIGHT(INDEX(tblStellplatz[SAP],MATCH(PlanLayout!AC40,tblStellplatz[Stellplatz],0)),4))),"?"))</f>
        <v/>
      </c>
      <c r="AD40" s="4">
        <f>IF(PlanLayout!AD40="","",PlanLayout!AD40&amp;CHAR(10)&amp;IFERROR(IF(INDEX(tblStellplatz[SAP],MATCH(PlanLayout!AD40,tblStellplatz[Stellplatz],0))="","leer",IF(LEFT(RIGHT(INDEX(tblStellplatz[SAP],MATCH(PlanLayout!AD40,tblStellplatz[Stellplatz],0)),4),1)="0",RIGHT(INDEX(tblStellplatz[SAP],MATCH(PlanLayout!AD40,tblStellplatz[Stellplatz],0)),5),RIGHT(INDEX(tblStellplatz[SAP],MATCH(PlanLayout!AD40,tblStellplatz[Stellplatz],0)),4))),"?"))</f>
        <v/>
      </c>
      <c r="AE40" s="4">
        <f>IF(PlanLayout!AE40="","",PlanLayout!AE40&amp;CHAR(10)&amp;IFERROR(IF(INDEX(tblStellplatz[SAP],MATCH(PlanLayout!AE40,tblStellplatz[Stellplatz],0))="","leer",IF(LEFT(RIGHT(INDEX(tblStellplatz[SAP],MATCH(PlanLayout!AE40,tblStellplatz[Stellplatz],0)),4),1)="0",RIGHT(INDEX(tblStellplatz[SAP],MATCH(PlanLayout!AE40,tblStellplatz[Stellplatz],0)),5),RIGHT(INDEX(tblStellplatz[SAP],MATCH(PlanLayout!AE40,tblStellplatz[Stellplatz],0)),4))),"?"))</f>
        <v/>
      </c>
      <c r="AF40" s="4">
        <f>IF(PlanLayout!AF40="","",PlanLayout!AF40&amp;CHAR(10)&amp;IFERROR(IF(INDEX(tblStellplatz[SAP],MATCH(PlanLayout!AF40,tblStellplatz[Stellplatz],0))="","leer",IF(LEFT(RIGHT(INDEX(tblStellplatz[SAP],MATCH(PlanLayout!AF40,tblStellplatz[Stellplatz],0)),4),1)="0",RIGHT(INDEX(tblStellplatz[SAP],MATCH(PlanLayout!AF40,tblStellplatz[Stellplatz],0)),5),RIGHT(INDEX(tblStellplatz[SAP],MATCH(PlanLayout!AF40,tblStellplatz[Stellplatz],0)),4))),"?"))</f>
        <v/>
      </c>
      <c r="AG40" s="4">
        <f>IF(PlanLayout!AG40="","",PlanLayout!AG40&amp;CHAR(10)&amp;IFERROR(IF(INDEX(tblStellplatz[SAP],MATCH(PlanLayout!AG40,tblStellplatz[Stellplatz],0))="","leer",IF(LEFT(RIGHT(INDEX(tblStellplatz[SAP],MATCH(PlanLayout!AG40,tblStellplatz[Stellplatz],0)),4),1)="0",RIGHT(INDEX(tblStellplatz[SAP],MATCH(PlanLayout!AG40,tblStellplatz[Stellplatz],0)),5),RIGHT(INDEX(tblStellplatz[SAP],MATCH(PlanLayout!AG40,tblStellplatz[Stellplatz],0)),4))),"?"))</f>
        <v/>
      </c>
      <c r="AH40" s="4">
        <f>IF(PlanLayout!AH40="","",PlanLayout!AH40&amp;CHAR(10)&amp;IFERROR(IF(INDEX(tblStellplatz[SAP],MATCH(PlanLayout!AH40,tblStellplatz[Stellplatz],0))="","leer",IF(LEFT(RIGHT(INDEX(tblStellplatz[SAP],MATCH(PlanLayout!AH40,tblStellplatz[Stellplatz],0)),4),1)="0",RIGHT(INDEX(tblStellplatz[SAP],MATCH(PlanLayout!AH40,tblStellplatz[Stellplatz],0)),5),RIGHT(INDEX(tblStellplatz[SAP],MATCH(PlanLayout!AH40,tblStellplatz[Stellplatz],0)),4))),"?"))</f>
        <v/>
      </c>
      <c r="AI40" s="4">
        <f>IF(PlanLayout!AI40="","",PlanLayout!AI40&amp;CHAR(10)&amp;IFERROR(IF(INDEX(tblStellplatz[SAP],MATCH(PlanLayout!AI40,tblStellplatz[Stellplatz],0))="","leer",IF(LEFT(RIGHT(INDEX(tblStellplatz[SAP],MATCH(PlanLayout!AI40,tblStellplatz[Stellplatz],0)),4),1)="0",RIGHT(INDEX(tblStellplatz[SAP],MATCH(PlanLayout!AI40,tblStellplatz[Stellplatz],0)),5),RIGHT(INDEX(tblStellplatz[SAP],MATCH(PlanLayout!AI40,tblStellplatz[Stellplatz],0)),4))),"?"))</f>
        <v/>
      </c>
      <c r="AJ40" s="4">
        <f>IF(PlanLayout!AJ40="","",PlanLayout!AJ40&amp;CHAR(10)&amp;IFERROR(IF(INDEX(tblStellplatz[SAP],MATCH(PlanLayout!AJ40,tblStellplatz[Stellplatz],0))="","leer",IF(LEFT(RIGHT(INDEX(tblStellplatz[SAP],MATCH(PlanLayout!AJ40,tblStellplatz[Stellplatz],0)),4),1)="0",RIGHT(INDEX(tblStellplatz[SAP],MATCH(PlanLayout!AJ40,tblStellplatz[Stellplatz],0)),5),RIGHT(INDEX(tblStellplatz[SAP],MATCH(PlanLayout!AJ40,tblStellplatz[Stellplatz],0)),4))),"?"))</f>
        <v/>
      </c>
      <c r="AK40" s="4">
        <f>IF(PlanLayout!AK40="","",PlanLayout!AK40&amp;CHAR(10)&amp;IFERROR(IF(INDEX(tblStellplatz[SAP],MATCH(PlanLayout!AK40,tblStellplatz[Stellplatz],0))="","leer",IF(LEFT(RIGHT(INDEX(tblStellplatz[SAP],MATCH(PlanLayout!AK40,tblStellplatz[Stellplatz],0)),4),1)="0",RIGHT(INDEX(tblStellplatz[SAP],MATCH(PlanLayout!AK40,tblStellplatz[Stellplatz],0)),5),RIGHT(INDEX(tblStellplatz[SAP],MATCH(PlanLayout!AK40,tblStellplatz[Stellplatz],0)),4))),"?"))</f>
        <v/>
      </c>
      <c r="AL40" s="4">
        <f>IF(PlanLayout!AL40="","",PlanLayout!AL40&amp;CHAR(10)&amp;IFERROR(IF(INDEX(tblStellplatz[SAP],MATCH(PlanLayout!AL40,tblStellplatz[Stellplatz],0))="","leer",IF(LEFT(RIGHT(INDEX(tblStellplatz[SAP],MATCH(PlanLayout!AL40,tblStellplatz[Stellplatz],0)),4),1)="0",RIGHT(INDEX(tblStellplatz[SAP],MATCH(PlanLayout!AL40,tblStellplatz[Stellplatz],0)),5),RIGHT(INDEX(tblStellplatz[SAP],MATCH(PlanLayout!AL40,tblStellplatz[Stellplatz],0)),4))),"?"))</f>
        <v/>
      </c>
      <c r="AM40" s="4">
        <f>IF(PlanLayout!AM40="","",PlanLayout!AM40&amp;CHAR(10)&amp;IFERROR(IF(INDEX(tblStellplatz[SAP],MATCH(PlanLayout!AM40,tblStellplatz[Stellplatz],0))="","leer",IF(LEFT(RIGHT(INDEX(tblStellplatz[SAP],MATCH(PlanLayout!AM40,tblStellplatz[Stellplatz],0)),4),1)="0",RIGHT(INDEX(tblStellplatz[SAP],MATCH(PlanLayout!AM40,tblStellplatz[Stellplatz],0)),5),RIGHT(INDEX(tblStellplatz[SAP],MATCH(PlanLayout!AM40,tblStellplatz[Stellplatz],0)),4))),"?"))</f>
        <v/>
      </c>
      <c r="AN40" s="4">
        <f>IF(PlanLayout!AN40="","",PlanLayout!AN40&amp;CHAR(10)&amp;IFERROR(IF(INDEX(tblStellplatz[SAP],MATCH(PlanLayout!AN40,tblStellplatz[Stellplatz],0))="","leer",IF(LEFT(RIGHT(INDEX(tblStellplatz[SAP],MATCH(PlanLayout!AN40,tblStellplatz[Stellplatz],0)),4),1)="0",RIGHT(INDEX(tblStellplatz[SAP],MATCH(PlanLayout!AN40,tblStellplatz[Stellplatz],0)),5),RIGHT(INDEX(tblStellplatz[SAP],MATCH(PlanLayout!AN40,tblStellplatz[Stellplatz],0)),4))),"?"))</f>
        <v/>
      </c>
      <c r="AO40" s="4">
        <f>IF(PlanLayout!AO40="","",PlanLayout!AO40&amp;CHAR(10)&amp;IFERROR(IF(INDEX(tblStellplatz[SAP],MATCH(PlanLayout!AO40,tblStellplatz[Stellplatz],0))="","leer",IF(LEFT(RIGHT(INDEX(tblStellplatz[SAP],MATCH(PlanLayout!AO40,tblStellplatz[Stellplatz],0)),4),1)="0",RIGHT(INDEX(tblStellplatz[SAP],MATCH(PlanLayout!AO40,tblStellplatz[Stellplatz],0)),5),RIGHT(INDEX(tblStellplatz[SAP],MATCH(PlanLayout!AO40,tblStellplatz[Stellplatz],0)),4))),"?"))</f>
        <v/>
      </c>
    </row>
    <row r="41" ht="30" customHeight="1">
      <c r="B41" s="4">
        <f>IF(PlanLayout!B41="","",PlanLayout!B41&amp;CHAR(10)&amp;IFERROR(IF(INDEX(tblStellplatz[SAP],MATCH(PlanLayout!B41,tblStellplatz[Stellplatz],0))="","leer",IF(LEFT(RIGHT(INDEX(tblStellplatz[SAP],MATCH(PlanLayout!B41,tblStellplatz[Stellplatz],0)),4),1)="0",RIGHT(INDEX(tblStellplatz[SAP],MATCH(PlanLayout!B41,tblStellplatz[Stellplatz],0)),5),RIGHT(INDEX(tblStellplatz[SAP],MATCH(PlanLayout!B41,tblStellplatz[Stellplatz],0)),4))),"?"))</f>
        <v/>
      </c>
      <c r="C41" s="4">
        <f>IF(PlanLayout!C41="","",PlanLayout!C41&amp;CHAR(10)&amp;IFERROR(IF(INDEX(tblStellplatz[SAP],MATCH(PlanLayout!C41,tblStellplatz[Stellplatz],0))="","leer",IF(LEFT(RIGHT(INDEX(tblStellplatz[SAP],MATCH(PlanLayout!C41,tblStellplatz[Stellplatz],0)),4),1)="0",RIGHT(INDEX(tblStellplatz[SAP],MATCH(PlanLayout!C41,tblStellplatz[Stellplatz],0)),5),RIGHT(INDEX(tblStellplatz[SAP],MATCH(PlanLayout!C41,tblStellplatz[Stellplatz],0)),4))),"?"))</f>
        <v/>
      </c>
      <c r="D41" s="4">
        <f>IF(PlanLayout!D41="","",PlanLayout!D41&amp;CHAR(10)&amp;IFERROR(IF(INDEX(tblStellplatz[SAP],MATCH(PlanLayout!D41,tblStellplatz[Stellplatz],0))="","leer",IF(LEFT(RIGHT(INDEX(tblStellplatz[SAP],MATCH(PlanLayout!D41,tblStellplatz[Stellplatz],0)),4),1)="0",RIGHT(INDEX(tblStellplatz[SAP],MATCH(PlanLayout!D41,tblStellplatz[Stellplatz],0)),5),RIGHT(INDEX(tblStellplatz[SAP],MATCH(PlanLayout!D41,tblStellplatz[Stellplatz],0)),4))),"?"))</f>
        <v/>
      </c>
      <c r="E41" s="4">
        <f>IF(PlanLayout!E41="","",PlanLayout!E41&amp;CHAR(10)&amp;IFERROR(IF(INDEX(tblStellplatz[SAP],MATCH(PlanLayout!E41,tblStellplatz[Stellplatz],0))="","leer",IF(LEFT(RIGHT(INDEX(tblStellplatz[SAP],MATCH(PlanLayout!E41,tblStellplatz[Stellplatz],0)),4),1)="0",RIGHT(INDEX(tblStellplatz[SAP],MATCH(PlanLayout!E41,tblStellplatz[Stellplatz],0)),5),RIGHT(INDEX(tblStellplatz[SAP],MATCH(PlanLayout!E41,tblStellplatz[Stellplatz],0)),4))),"?"))</f>
        <v/>
      </c>
      <c r="F41" s="4">
        <f>IF(PlanLayout!F41="","",PlanLayout!F41&amp;CHAR(10)&amp;IFERROR(IF(INDEX(tblStellplatz[SAP],MATCH(PlanLayout!F41,tblStellplatz[Stellplatz],0))="","leer",IF(LEFT(RIGHT(INDEX(tblStellplatz[SAP],MATCH(PlanLayout!F41,tblStellplatz[Stellplatz],0)),4),1)="0",RIGHT(INDEX(tblStellplatz[SAP],MATCH(PlanLayout!F41,tblStellplatz[Stellplatz],0)),5),RIGHT(INDEX(tblStellplatz[SAP],MATCH(PlanLayout!F41,tblStellplatz[Stellplatz],0)),4))),"?"))</f>
        <v/>
      </c>
      <c r="G41" s="4">
        <f>IF(PlanLayout!G41="","",PlanLayout!G41&amp;CHAR(10)&amp;IFERROR(IF(INDEX(tblStellplatz[SAP],MATCH(PlanLayout!G41,tblStellplatz[Stellplatz],0))="","leer",IF(LEFT(RIGHT(INDEX(tblStellplatz[SAP],MATCH(PlanLayout!G41,tblStellplatz[Stellplatz],0)),4),1)="0",RIGHT(INDEX(tblStellplatz[SAP],MATCH(PlanLayout!G41,tblStellplatz[Stellplatz],0)),5),RIGHT(INDEX(tblStellplatz[SAP],MATCH(PlanLayout!G41,tblStellplatz[Stellplatz],0)),4))),"?"))</f>
        <v/>
      </c>
      <c r="H41" s="4">
        <f>IF(PlanLayout!H41="","",PlanLayout!H41&amp;CHAR(10)&amp;IFERROR(IF(INDEX(tblStellplatz[SAP],MATCH(PlanLayout!H41,tblStellplatz[Stellplatz],0))="","leer",IF(LEFT(RIGHT(INDEX(tblStellplatz[SAP],MATCH(PlanLayout!H41,tblStellplatz[Stellplatz],0)),4),1)="0",RIGHT(INDEX(tblStellplatz[SAP],MATCH(PlanLayout!H41,tblStellplatz[Stellplatz],0)),5),RIGHT(INDEX(tblStellplatz[SAP],MATCH(PlanLayout!H41,tblStellplatz[Stellplatz],0)),4))),"?"))</f>
        <v/>
      </c>
      <c r="I41" s="4">
        <f>IF(PlanLayout!I41="","",PlanLayout!I41&amp;CHAR(10)&amp;IFERROR(IF(INDEX(tblStellplatz[SAP],MATCH(PlanLayout!I41,tblStellplatz[Stellplatz],0))="","leer",IF(LEFT(RIGHT(INDEX(tblStellplatz[SAP],MATCH(PlanLayout!I41,tblStellplatz[Stellplatz],0)),4),1)="0",RIGHT(INDEX(tblStellplatz[SAP],MATCH(PlanLayout!I41,tblStellplatz[Stellplatz],0)),5),RIGHT(INDEX(tblStellplatz[SAP],MATCH(PlanLayout!I41,tblStellplatz[Stellplatz],0)),4))),"?"))</f>
        <v/>
      </c>
      <c r="J41" s="4">
        <f>IF(PlanLayout!J41="","",PlanLayout!J41&amp;CHAR(10)&amp;IFERROR(IF(INDEX(tblStellplatz[SAP],MATCH(PlanLayout!J41,tblStellplatz[Stellplatz],0))="","leer",IF(LEFT(RIGHT(INDEX(tblStellplatz[SAP],MATCH(PlanLayout!J41,tblStellplatz[Stellplatz],0)),4),1)="0",RIGHT(INDEX(tblStellplatz[SAP],MATCH(PlanLayout!J41,tblStellplatz[Stellplatz],0)),5),RIGHT(INDEX(tblStellplatz[SAP],MATCH(PlanLayout!J41,tblStellplatz[Stellplatz],0)),4))),"?"))</f>
        <v/>
      </c>
      <c r="K41" s="4">
        <f>IF(PlanLayout!K41="","",PlanLayout!K41&amp;CHAR(10)&amp;IFERROR(IF(INDEX(tblStellplatz[SAP],MATCH(PlanLayout!K41,tblStellplatz[Stellplatz],0))="","leer",IF(LEFT(RIGHT(INDEX(tblStellplatz[SAP],MATCH(PlanLayout!K41,tblStellplatz[Stellplatz],0)),4),1)="0",RIGHT(INDEX(tblStellplatz[SAP],MATCH(PlanLayout!K41,tblStellplatz[Stellplatz],0)),5),RIGHT(INDEX(tblStellplatz[SAP],MATCH(PlanLayout!K41,tblStellplatz[Stellplatz],0)),4))),"?"))</f>
        <v/>
      </c>
      <c r="L41" s="4">
        <f>IF(PlanLayout!L41="","",PlanLayout!L41&amp;CHAR(10)&amp;IFERROR(IF(INDEX(tblStellplatz[SAP],MATCH(PlanLayout!L41,tblStellplatz[Stellplatz],0))="","leer",IF(LEFT(RIGHT(INDEX(tblStellplatz[SAP],MATCH(PlanLayout!L41,tblStellplatz[Stellplatz],0)),4),1)="0",RIGHT(INDEX(tblStellplatz[SAP],MATCH(PlanLayout!L41,tblStellplatz[Stellplatz],0)),5),RIGHT(INDEX(tblStellplatz[SAP],MATCH(PlanLayout!L41,tblStellplatz[Stellplatz],0)),4))),"?"))</f>
        <v/>
      </c>
      <c r="M41" s="4">
        <f>IF(PlanLayout!M41="","",PlanLayout!M41&amp;CHAR(10)&amp;IFERROR(IF(INDEX(tblStellplatz[SAP],MATCH(PlanLayout!M41,tblStellplatz[Stellplatz],0))="","leer",IF(LEFT(RIGHT(INDEX(tblStellplatz[SAP],MATCH(PlanLayout!M41,tblStellplatz[Stellplatz],0)),4),1)="0",RIGHT(INDEX(tblStellplatz[SAP],MATCH(PlanLayout!M41,tblStellplatz[Stellplatz],0)),5),RIGHT(INDEX(tblStellplatz[SAP],MATCH(PlanLayout!M41,tblStellplatz[Stellplatz],0)),4))),"?"))</f>
        <v/>
      </c>
      <c r="N41" s="4">
        <f>IF(PlanLayout!N41="","",PlanLayout!N41&amp;CHAR(10)&amp;IFERROR(IF(INDEX(tblStellplatz[SAP],MATCH(PlanLayout!N41,tblStellplatz[Stellplatz],0))="","leer",IF(LEFT(RIGHT(INDEX(tblStellplatz[SAP],MATCH(PlanLayout!N41,tblStellplatz[Stellplatz],0)),4),1)="0",RIGHT(INDEX(tblStellplatz[SAP],MATCH(PlanLayout!N41,tblStellplatz[Stellplatz],0)),5),RIGHT(INDEX(tblStellplatz[SAP],MATCH(PlanLayout!N41,tblStellplatz[Stellplatz],0)),4))),"?"))</f>
        <v/>
      </c>
      <c r="O41" s="4">
        <f>IF(PlanLayout!O41="","",PlanLayout!O41&amp;CHAR(10)&amp;IFERROR(IF(INDEX(tblStellplatz[SAP],MATCH(PlanLayout!O41,tblStellplatz[Stellplatz],0))="","leer",IF(LEFT(RIGHT(INDEX(tblStellplatz[SAP],MATCH(PlanLayout!O41,tblStellplatz[Stellplatz],0)),4),1)="0",RIGHT(INDEX(tblStellplatz[SAP],MATCH(PlanLayout!O41,tblStellplatz[Stellplatz],0)),5),RIGHT(INDEX(tblStellplatz[SAP],MATCH(PlanLayout!O41,tblStellplatz[Stellplatz],0)),4))),"?"))</f>
        <v/>
      </c>
      <c r="P41" s="4">
        <f>IF(PlanLayout!P41="","",PlanLayout!P41&amp;CHAR(10)&amp;IFERROR(IF(INDEX(tblStellplatz[SAP],MATCH(PlanLayout!P41,tblStellplatz[Stellplatz],0))="","leer",IF(LEFT(RIGHT(INDEX(tblStellplatz[SAP],MATCH(PlanLayout!P41,tblStellplatz[Stellplatz],0)),4),1)="0",RIGHT(INDEX(tblStellplatz[SAP],MATCH(PlanLayout!P41,tblStellplatz[Stellplatz],0)),5),RIGHT(INDEX(tblStellplatz[SAP],MATCH(PlanLayout!P41,tblStellplatz[Stellplatz],0)),4))),"?"))</f>
        <v/>
      </c>
      <c r="Q41" s="4">
        <f>IF(PlanLayout!Q41="","",PlanLayout!Q41&amp;CHAR(10)&amp;IFERROR(IF(INDEX(tblStellplatz[SAP],MATCH(PlanLayout!Q41,tblStellplatz[Stellplatz],0))="","leer",IF(LEFT(RIGHT(INDEX(tblStellplatz[SAP],MATCH(PlanLayout!Q41,tblStellplatz[Stellplatz],0)),4),1)="0",RIGHT(INDEX(tblStellplatz[SAP],MATCH(PlanLayout!Q41,tblStellplatz[Stellplatz],0)),5),RIGHT(INDEX(tblStellplatz[SAP],MATCH(PlanLayout!Q41,tblStellplatz[Stellplatz],0)),4))),"?"))</f>
        <v/>
      </c>
      <c r="R41" s="4">
        <f>IF(PlanLayout!R41="","",PlanLayout!R41&amp;CHAR(10)&amp;IFERROR(IF(INDEX(tblStellplatz[SAP],MATCH(PlanLayout!R41,tblStellplatz[Stellplatz],0))="","leer",IF(LEFT(RIGHT(INDEX(tblStellplatz[SAP],MATCH(PlanLayout!R41,tblStellplatz[Stellplatz],0)),4),1)="0",RIGHT(INDEX(tblStellplatz[SAP],MATCH(PlanLayout!R41,tblStellplatz[Stellplatz],0)),5),RIGHT(INDEX(tblStellplatz[SAP],MATCH(PlanLayout!R41,tblStellplatz[Stellplatz],0)),4))),"?"))</f>
        <v/>
      </c>
      <c r="S41" s="4">
        <f>IF(PlanLayout!S41="","",PlanLayout!S41&amp;CHAR(10)&amp;IFERROR(IF(INDEX(tblStellplatz[SAP],MATCH(PlanLayout!S41,tblStellplatz[Stellplatz],0))="","leer",IF(LEFT(RIGHT(INDEX(tblStellplatz[SAP],MATCH(PlanLayout!S41,tblStellplatz[Stellplatz],0)),4),1)="0",RIGHT(INDEX(tblStellplatz[SAP],MATCH(PlanLayout!S41,tblStellplatz[Stellplatz],0)),5),RIGHT(INDEX(tblStellplatz[SAP],MATCH(PlanLayout!S41,tblStellplatz[Stellplatz],0)),4))),"?"))</f>
        <v/>
      </c>
      <c r="T41" s="4">
        <f>IF(PlanLayout!T41="","",PlanLayout!T41&amp;CHAR(10)&amp;IFERROR(IF(INDEX(tblStellplatz[SAP],MATCH(PlanLayout!T41,tblStellplatz[Stellplatz],0))="","leer",IF(LEFT(RIGHT(INDEX(tblStellplatz[SAP],MATCH(PlanLayout!T41,tblStellplatz[Stellplatz],0)),4),1)="0",RIGHT(INDEX(tblStellplatz[SAP],MATCH(PlanLayout!T41,tblStellplatz[Stellplatz],0)),5),RIGHT(INDEX(tblStellplatz[SAP],MATCH(PlanLayout!T41,tblStellplatz[Stellplatz],0)),4))),"?"))</f>
        <v/>
      </c>
      <c r="U41" s="4">
        <f>IF(PlanLayout!U41="","",PlanLayout!U41&amp;CHAR(10)&amp;IFERROR(IF(INDEX(tblStellplatz[SAP],MATCH(PlanLayout!U41,tblStellplatz[Stellplatz],0))="","leer",IF(LEFT(RIGHT(INDEX(tblStellplatz[SAP],MATCH(PlanLayout!U41,tblStellplatz[Stellplatz],0)),4),1)="0",RIGHT(INDEX(tblStellplatz[SAP],MATCH(PlanLayout!U41,tblStellplatz[Stellplatz],0)),5),RIGHT(INDEX(tblStellplatz[SAP],MATCH(PlanLayout!U41,tblStellplatz[Stellplatz],0)),4))),"?"))</f>
        <v/>
      </c>
      <c r="V41" s="4">
        <f>IF(PlanLayout!V41="","",PlanLayout!V41&amp;CHAR(10)&amp;IFERROR(IF(INDEX(tblStellplatz[SAP],MATCH(PlanLayout!V41,tblStellplatz[Stellplatz],0))="","leer",IF(LEFT(RIGHT(INDEX(tblStellplatz[SAP],MATCH(PlanLayout!V41,tblStellplatz[Stellplatz],0)),4),1)="0",RIGHT(INDEX(tblStellplatz[SAP],MATCH(PlanLayout!V41,tblStellplatz[Stellplatz],0)),5),RIGHT(INDEX(tblStellplatz[SAP],MATCH(PlanLayout!V41,tblStellplatz[Stellplatz],0)),4))),"?"))</f>
        <v/>
      </c>
      <c r="W41" s="4">
        <f>IF(PlanLayout!W41="","",PlanLayout!W41&amp;CHAR(10)&amp;IFERROR(IF(INDEX(tblStellplatz[SAP],MATCH(PlanLayout!W41,tblStellplatz[Stellplatz],0))="","leer",IF(LEFT(RIGHT(INDEX(tblStellplatz[SAP],MATCH(PlanLayout!W41,tblStellplatz[Stellplatz],0)),4),1)="0",RIGHT(INDEX(tblStellplatz[SAP],MATCH(PlanLayout!W41,tblStellplatz[Stellplatz],0)),5),RIGHT(INDEX(tblStellplatz[SAP],MATCH(PlanLayout!W41,tblStellplatz[Stellplatz],0)),4))),"?"))</f>
        <v/>
      </c>
      <c r="X41" s="4">
        <f>IF(PlanLayout!X41="","",PlanLayout!X41&amp;CHAR(10)&amp;IFERROR(IF(INDEX(tblStellplatz[SAP],MATCH(PlanLayout!X41,tblStellplatz[Stellplatz],0))="","leer",IF(LEFT(RIGHT(INDEX(tblStellplatz[SAP],MATCH(PlanLayout!X41,tblStellplatz[Stellplatz],0)),4),1)="0",RIGHT(INDEX(tblStellplatz[SAP],MATCH(PlanLayout!X41,tblStellplatz[Stellplatz],0)),5),RIGHT(INDEX(tblStellplatz[SAP],MATCH(PlanLayout!X41,tblStellplatz[Stellplatz],0)),4))),"?"))</f>
        <v/>
      </c>
      <c r="Y41" s="4">
        <f>IF(PlanLayout!Y41="","",PlanLayout!Y41&amp;CHAR(10)&amp;IFERROR(IF(INDEX(tblStellplatz[SAP],MATCH(PlanLayout!Y41,tblStellplatz[Stellplatz],0))="","leer",IF(LEFT(RIGHT(INDEX(tblStellplatz[SAP],MATCH(PlanLayout!Y41,tblStellplatz[Stellplatz],0)),4),1)="0",RIGHT(INDEX(tblStellplatz[SAP],MATCH(PlanLayout!Y41,tblStellplatz[Stellplatz],0)),5),RIGHT(INDEX(tblStellplatz[SAP],MATCH(PlanLayout!Y41,tblStellplatz[Stellplatz],0)),4))),"?"))</f>
        <v/>
      </c>
      <c r="Z41" s="4">
        <f>IF(PlanLayout!Z41="","",PlanLayout!Z41&amp;CHAR(10)&amp;IFERROR(IF(INDEX(tblStellplatz[SAP],MATCH(PlanLayout!Z41,tblStellplatz[Stellplatz],0))="","leer",IF(LEFT(RIGHT(INDEX(tblStellplatz[SAP],MATCH(PlanLayout!Z41,tblStellplatz[Stellplatz],0)),4),1)="0",RIGHT(INDEX(tblStellplatz[SAP],MATCH(PlanLayout!Z41,tblStellplatz[Stellplatz],0)),5),RIGHT(INDEX(tblStellplatz[SAP],MATCH(PlanLayout!Z41,tblStellplatz[Stellplatz],0)),4))),"?"))</f>
        <v/>
      </c>
      <c r="AA41" s="4">
        <f>IF(PlanLayout!AA41="","",PlanLayout!AA41&amp;CHAR(10)&amp;IFERROR(IF(INDEX(tblStellplatz[SAP],MATCH(PlanLayout!AA41,tblStellplatz[Stellplatz],0))="","leer",IF(LEFT(RIGHT(INDEX(tblStellplatz[SAP],MATCH(PlanLayout!AA41,tblStellplatz[Stellplatz],0)),4),1)="0",RIGHT(INDEX(tblStellplatz[SAP],MATCH(PlanLayout!AA41,tblStellplatz[Stellplatz],0)),5),RIGHT(INDEX(tblStellplatz[SAP],MATCH(PlanLayout!AA41,tblStellplatz[Stellplatz],0)),4))),"?"))</f>
        <v/>
      </c>
      <c r="AB41" s="4">
        <f>IF(PlanLayout!AB41="","",PlanLayout!AB41&amp;CHAR(10)&amp;IFERROR(IF(INDEX(tblStellplatz[SAP],MATCH(PlanLayout!AB41,tblStellplatz[Stellplatz],0))="","leer",IF(LEFT(RIGHT(INDEX(tblStellplatz[SAP],MATCH(PlanLayout!AB41,tblStellplatz[Stellplatz],0)),4),1)="0",RIGHT(INDEX(tblStellplatz[SAP],MATCH(PlanLayout!AB41,tblStellplatz[Stellplatz],0)),5),RIGHT(INDEX(tblStellplatz[SAP],MATCH(PlanLayout!AB41,tblStellplatz[Stellplatz],0)),4))),"?"))</f>
        <v/>
      </c>
      <c r="AC41" s="4">
        <f>IF(PlanLayout!AC41="","",PlanLayout!AC41&amp;CHAR(10)&amp;IFERROR(IF(INDEX(tblStellplatz[SAP],MATCH(PlanLayout!AC41,tblStellplatz[Stellplatz],0))="","leer",IF(LEFT(RIGHT(INDEX(tblStellplatz[SAP],MATCH(PlanLayout!AC41,tblStellplatz[Stellplatz],0)),4),1)="0",RIGHT(INDEX(tblStellplatz[SAP],MATCH(PlanLayout!AC41,tblStellplatz[Stellplatz],0)),5),RIGHT(INDEX(tblStellplatz[SAP],MATCH(PlanLayout!AC41,tblStellplatz[Stellplatz],0)),4))),"?"))</f>
        <v/>
      </c>
      <c r="AD41" s="4">
        <f>IF(PlanLayout!AD41="","",PlanLayout!AD41&amp;CHAR(10)&amp;IFERROR(IF(INDEX(tblStellplatz[SAP],MATCH(PlanLayout!AD41,tblStellplatz[Stellplatz],0))="","leer",IF(LEFT(RIGHT(INDEX(tblStellplatz[SAP],MATCH(PlanLayout!AD41,tblStellplatz[Stellplatz],0)),4),1)="0",RIGHT(INDEX(tblStellplatz[SAP],MATCH(PlanLayout!AD41,tblStellplatz[Stellplatz],0)),5),RIGHT(INDEX(tblStellplatz[SAP],MATCH(PlanLayout!AD41,tblStellplatz[Stellplatz],0)),4))),"?"))</f>
        <v/>
      </c>
      <c r="AE41" s="4">
        <f>IF(PlanLayout!AE41="","",PlanLayout!AE41&amp;CHAR(10)&amp;IFERROR(IF(INDEX(tblStellplatz[SAP],MATCH(PlanLayout!AE41,tblStellplatz[Stellplatz],0))="","leer",IF(LEFT(RIGHT(INDEX(tblStellplatz[SAP],MATCH(PlanLayout!AE41,tblStellplatz[Stellplatz],0)),4),1)="0",RIGHT(INDEX(tblStellplatz[SAP],MATCH(PlanLayout!AE41,tblStellplatz[Stellplatz],0)),5),RIGHT(INDEX(tblStellplatz[SAP],MATCH(PlanLayout!AE41,tblStellplatz[Stellplatz],0)),4))),"?"))</f>
        <v/>
      </c>
      <c r="AF41" s="4">
        <f>IF(PlanLayout!AF41="","",PlanLayout!AF41&amp;CHAR(10)&amp;IFERROR(IF(INDEX(tblStellplatz[SAP],MATCH(PlanLayout!AF41,tblStellplatz[Stellplatz],0))="","leer",IF(LEFT(RIGHT(INDEX(tblStellplatz[SAP],MATCH(PlanLayout!AF41,tblStellplatz[Stellplatz],0)),4),1)="0",RIGHT(INDEX(tblStellplatz[SAP],MATCH(PlanLayout!AF41,tblStellplatz[Stellplatz],0)),5),RIGHT(INDEX(tblStellplatz[SAP],MATCH(PlanLayout!AF41,tblStellplatz[Stellplatz],0)),4))),"?"))</f>
        <v/>
      </c>
      <c r="AG41" s="4">
        <f>IF(PlanLayout!AG41="","",PlanLayout!AG41&amp;CHAR(10)&amp;IFERROR(IF(INDEX(tblStellplatz[SAP],MATCH(PlanLayout!AG41,tblStellplatz[Stellplatz],0))="","leer",IF(LEFT(RIGHT(INDEX(tblStellplatz[SAP],MATCH(PlanLayout!AG41,tblStellplatz[Stellplatz],0)),4),1)="0",RIGHT(INDEX(tblStellplatz[SAP],MATCH(PlanLayout!AG41,tblStellplatz[Stellplatz],0)),5),RIGHT(INDEX(tblStellplatz[SAP],MATCH(PlanLayout!AG41,tblStellplatz[Stellplatz],0)),4))),"?"))</f>
        <v/>
      </c>
      <c r="AH41" s="4">
        <f>IF(PlanLayout!AH41="","",PlanLayout!AH41&amp;CHAR(10)&amp;IFERROR(IF(INDEX(tblStellplatz[SAP],MATCH(PlanLayout!AH41,tblStellplatz[Stellplatz],0))="","leer",IF(LEFT(RIGHT(INDEX(tblStellplatz[SAP],MATCH(PlanLayout!AH41,tblStellplatz[Stellplatz],0)),4),1)="0",RIGHT(INDEX(tblStellplatz[SAP],MATCH(PlanLayout!AH41,tblStellplatz[Stellplatz],0)),5),RIGHT(INDEX(tblStellplatz[SAP],MATCH(PlanLayout!AH41,tblStellplatz[Stellplatz],0)),4))),"?"))</f>
        <v/>
      </c>
      <c r="AI41" s="4">
        <f>IF(PlanLayout!AI41="","",PlanLayout!AI41&amp;CHAR(10)&amp;IFERROR(IF(INDEX(tblStellplatz[SAP],MATCH(PlanLayout!AI41,tblStellplatz[Stellplatz],0))="","leer",IF(LEFT(RIGHT(INDEX(tblStellplatz[SAP],MATCH(PlanLayout!AI41,tblStellplatz[Stellplatz],0)),4),1)="0",RIGHT(INDEX(tblStellplatz[SAP],MATCH(PlanLayout!AI41,tblStellplatz[Stellplatz],0)),5),RIGHT(INDEX(tblStellplatz[SAP],MATCH(PlanLayout!AI41,tblStellplatz[Stellplatz],0)),4))),"?"))</f>
        <v/>
      </c>
      <c r="AJ41" s="4">
        <f>IF(PlanLayout!AJ41="","",PlanLayout!AJ41&amp;CHAR(10)&amp;IFERROR(IF(INDEX(tblStellplatz[SAP],MATCH(PlanLayout!AJ41,tblStellplatz[Stellplatz],0))="","leer",IF(LEFT(RIGHT(INDEX(tblStellplatz[SAP],MATCH(PlanLayout!AJ41,tblStellplatz[Stellplatz],0)),4),1)="0",RIGHT(INDEX(tblStellplatz[SAP],MATCH(PlanLayout!AJ41,tblStellplatz[Stellplatz],0)),5),RIGHT(INDEX(tblStellplatz[SAP],MATCH(PlanLayout!AJ41,tblStellplatz[Stellplatz],0)),4))),"?"))</f>
        <v/>
      </c>
      <c r="AK41" s="4">
        <f>IF(PlanLayout!AK41="","",PlanLayout!AK41&amp;CHAR(10)&amp;IFERROR(IF(INDEX(tblStellplatz[SAP],MATCH(PlanLayout!AK41,tblStellplatz[Stellplatz],0))="","leer",IF(LEFT(RIGHT(INDEX(tblStellplatz[SAP],MATCH(PlanLayout!AK41,tblStellplatz[Stellplatz],0)),4),1)="0",RIGHT(INDEX(tblStellplatz[SAP],MATCH(PlanLayout!AK41,tblStellplatz[Stellplatz],0)),5),RIGHT(INDEX(tblStellplatz[SAP],MATCH(PlanLayout!AK41,tblStellplatz[Stellplatz],0)),4))),"?"))</f>
        <v/>
      </c>
      <c r="AL41" s="4">
        <f>IF(PlanLayout!AL41="","",PlanLayout!AL41&amp;CHAR(10)&amp;IFERROR(IF(INDEX(tblStellplatz[SAP],MATCH(PlanLayout!AL41,tblStellplatz[Stellplatz],0))="","leer",IF(LEFT(RIGHT(INDEX(tblStellplatz[SAP],MATCH(PlanLayout!AL41,tblStellplatz[Stellplatz],0)),4),1)="0",RIGHT(INDEX(tblStellplatz[SAP],MATCH(PlanLayout!AL41,tblStellplatz[Stellplatz],0)),5),RIGHT(INDEX(tblStellplatz[SAP],MATCH(PlanLayout!AL41,tblStellplatz[Stellplatz],0)),4))),"?"))</f>
        <v/>
      </c>
      <c r="AM41" s="4">
        <f>IF(PlanLayout!AM41="","",PlanLayout!AM41&amp;CHAR(10)&amp;IFERROR(IF(INDEX(tblStellplatz[SAP],MATCH(PlanLayout!AM41,tblStellplatz[Stellplatz],0))="","leer",IF(LEFT(RIGHT(INDEX(tblStellplatz[SAP],MATCH(PlanLayout!AM41,tblStellplatz[Stellplatz],0)),4),1)="0",RIGHT(INDEX(tblStellplatz[SAP],MATCH(PlanLayout!AM41,tblStellplatz[Stellplatz],0)),5),RIGHT(INDEX(tblStellplatz[SAP],MATCH(PlanLayout!AM41,tblStellplatz[Stellplatz],0)),4))),"?"))</f>
        <v/>
      </c>
      <c r="AN41" s="4">
        <f>IF(PlanLayout!AN41="","",PlanLayout!AN41&amp;CHAR(10)&amp;IFERROR(IF(INDEX(tblStellplatz[SAP],MATCH(PlanLayout!AN41,tblStellplatz[Stellplatz],0))="","leer",IF(LEFT(RIGHT(INDEX(tblStellplatz[SAP],MATCH(PlanLayout!AN41,tblStellplatz[Stellplatz],0)),4),1)="0",RIGHT(INDEX(tblStellplatz[SAP],MATCH(PlanLayout!AN41,tblStellplatz[Stellplatz],0)),5),RIGHT(INDEX(tblStellplatz[SAP],MATCH(PlanLayout!AN41,tblStellplatz[Stellplatz],0)),4))),"?"))</f>
        <v/>
      </c>
      <c r="AO41" s="4">
        <f>IF(PlanLayout!AO41="","",PlanLayout!AO41&amp;CHAR(10)&amp;IFERROR(IF(INDEX(tblStellplatz[SAP],MATCH(PlanLayout!AO41,tblStellplatz[Stellplatz],0))="","leer",IF(LEFT(RIGHT(INDEX(tblStellplatz[SAP],MATCH(PlanLayout!AO41,tblStellplatz[Stellplatz],0)),4),1)="0",RIGHT(INDEX(tblStellplatz[SAP],MATCH(PlanLayout!AO41,tblStellplatz[Stellplatz],0)),5),RIGHT(INDEX(tblStellplatz[SAP],MATCH(PlanLayout!AO41,tblStellplatz[Stellplatz],0)),4))),"?"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B2:AO41">
    <cfRule type="expression" priority="1" dxfId="0">
      <formula>ISNUMBER(SEARCH("leer",B2))</formula>
    </cfRule>
    <cfRule type="expression" priority="2" dxfId="1">
      <formula>AND(B2&lt;&gt;"",NOT(ISNUMBER(SEARCH("leer",B2))))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2026-10-12T16:57:48Z</dcterms:created>
  <dcterms:modified xmlns:dcterms="http://purl.org/dc/terms/" xmlns:xsi="http://www.w3.org/2001/XMLSchema-instance" xsi:type="dcterms:W3CDTF">2026-10-14T20:52:09Z</dcterms:modified>
</cp:coreProperties>
</file>